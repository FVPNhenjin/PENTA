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trangeman\Documents\作りたいゲーム\PENTA\PENTA\Workspace\"/>
    </mc:Choice>
  </mc:AlternateContent>
  <bookViews>
    <workbookView xWindow="0" yWindow="0" windowWidth="23040" windowHeight="9396" activeTab="3"/>
  </bookViews>
  <sheets>
    <sheet name="Sorting" sheetId="1" r:id="rId1"/>
    <sheet name="画面レイアウト" sheetId="2" r:id="rId2"/>
    <sheet name="モード遷移" sheetId="3" r:id="rId3"/>
    <sheet name="タスクスケジュール" sheetId="4" r:id="rId4"/>
    <sheet name="ステージエディター" sheetId="5" r:id="rId5"/>
    <sheet name="ステージデータ" sheetId="7" r:id="rId6"/>
    <sheet name="Sort2" sheetId="6" r:id="rId7"/>
  </sheet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61" i="7" l="1"/>
  <c r="M59" i="7"/>
  <c r="M57" i="7"/>
  <c r="M56" i="7"/>
  <c r="M54" i="7"/>
  <c r="M52" i="7"/>
  <c r="M51" i="7"/>
  <c r="M47" i="7"/>
  <c r="M46" i="7"/>
  <c r="M45" i="7"/>
  <c r="T34" i="6" l="1"/>
  <c r="S35" i="6" s="1"/>
  <c r="T36" i="6" s="1"/>
  <c r="S37" i="6" s="1"/>
  <c r="S34" i="6"/>
  <c r="T35" i="6" s="1"/>
  <c r="S36" i="6" s="1"/>
  <c r="T37" i="6" s="1"/>
  <c r="T31" i="6"/>
  <c r="S32" i="6" s="1"/>
  <c r="T33" i="6" s="1"/>
  <c r="S31" i="6"/>
  <c r="T32" i="6" s="1"/>
  <c r="S33" i="6" s="1"/>
  <c r="S29" i="6"/>
  <c r="T11" i="6"/>
  <c r="T24" i="6"/>
  <c r="S21" i="6"/>
  <c r="T22" i="6" s="1"/>
  <c r="S23" i="6" s="1"/>
  <c r="T14" i="6"/>
  <c r="S25" i="6"/>
  <c r="S11" i="6"/>
  <c r="T12" i="6" s="1"/>
  <c r="S13" i="6" s="1"/>
  <c r="S12" i="6"/>
  <c r="T13" i="6" s="1"/>
  <c r="S19" i="6"/>
  <c r="S9" i="6"/>
  <c r="S26" i="6"/>
  <c r="S22" i="6"/>
  <c r="T23" i="6" s="1"/>
  <c r="S24" i="6"/>
  <c r="T25" i="6" s="1"/>
  <c r="T21" i="6"/>
  <c r="S14" i="6"/>
  <c r="T15" i="6" s="1"/>
  <c r="S16" i="6" s="1"/>
  <c r="T17" i="6" s="1"/>
  <c r="S15" i="6"/>
  <c r="T16" i="6" s="1"/>
  <c r="S17" i="6" s="1"/>
  <c r="T27" i="6" l="1"/>
  <c r="T26" i="6"/>
  <c r="S27" i="6" s="1"/>
  <c r="AE6" i="5"/>
  <c r="G41" i="4" l="1"/>
  <c r="F41" i="4"/>
  <c r="E41" i="4"/>
  <c r="AB24" i="3" l="1"/>
  <c r="AA24" i="3"/>
  <c r="AF19" i="3" l="1"/>
  <c r="AE19" i="3"/>
  <c r="L28" i="4" l="1"/>
  <c r="L27" i="4"/>
  <c r="L26" i="4"/>
  <c r="L25" i="4"/>
  <c r="L22" i="4"/>
  <c r="L23" i="4"/>
  <c r="L24" i="4"/>
  <c r="L21" i="4"/>
  <c r="O13" i="4"/>
  <c r="P13" i="4"/>
  <c r="Q14" i="4"/>
  <c r="Q13" i="4"/>
  <c r="R13" i="4"/>
  <c r="Q16" i="4"/>
  <c r="O14" i="4"/>
  <c r="R15" i="4" s="1"/>
  <c r="P14" i="4"/>
  <c r="O15" i="4"/>
  <c r="R16" i="4" s="1"/>
  <c r="P15" i="4"/>
  <c r="O16" i="4"/>
  <c r="P16" i="4"/>
  <c r="Q15" i="4"/>
  <c r="R14" i="4"/>
  <c r="R17" i="3" l="1"/>
  <c r="R18" i="3" s="1"/>
  <c r="S16" i="3"/>
  <c r="S17" i="3" s="1"/>
  <c r="S18" i="3" s="1"/>
  <c r="S19" i="3" s="1"/>
  <c r="S20" i="3" s="1"/>
  <c r="R16" i="3"/>
  <c r="T15" i="3"/>
  <c r="R19" i="3" l="1"/>
  <c r="T18" i="3"/>
  <c r="T17" i="3"/>
  <c r="T16" i="3"/>
  <c r="A16" i="1"/>
  <c r="A47" i="1"/>
  <c r="A36" i="1"/>
  <c r="A39" i="1"/>
  <c r="A38" i="1"/>
  <c r="A37" i="1"/>
  <c r="A15" i="1"/>
  <c r="A24" i="1"/>
  <c r="A25" i="1"/>
  <c r="A23" i="1"/>
  <c r="A18" i="1"/>
  <c r="A13" i="1"/>
  <c r="A4" i="1"/>
  <c r="A5" i="1"/>
  <c r="A6" i="1"/>
  <c r="A7" i="1"/>
  <c r="A8" i="1"/>
  <c r="A9" i="1"/>
  <c r="A10" i="1"/>
  <c r="A3" i="1"/>
  <c r="A14" i="1"/>
  <c r="R20" i="3" l="1"/>
  <c r="T20" i="3" s="1"/>
  <c r="T19" i="3"/>
</calcChain>
</file>

<file path=xl/comments1.xml><?xml version="1.0" encoding="utf-8"?>
<comments xmlns="http://schemas.openxmlformats.org/spreadsheetml/2006/main">
  <authors>
    <author>Strangeman</author>
  </authors>
  <commentList>
    <comment ref="B28" authorId="0" shapeId="0">
      <text>
        <r>
          <rPr>
            <sz val="9"/>
            <color indexed="81"/>
            <rFont val="ＭＳ Ｐゴシック"/>
            <family val="3"/>
            <charset val="128"/>
          </rPr>
          <t xml:space="preserve">Class::Sortingの仕様書
</t>
        </r>
      </text>
    </comment>
  </commentList>
</comments>
</file>

<file path=xl/comments2.xml><?xml version="1.0" encoding="utf-8"?>
<comments xmlns="http://schemas.openxmlformats.org/spreadsheetml/2006/main">
  <authors>
    <author>Strangeman</author>
  </authors>
  <commentList>
    <comment ref="B4" authorId="0" shapeId="0">
      <text>
        <r>
          <rPr>
            <b/>
            <sz val="9"/>
            <color indexed="81"/>
            <rFont val="ＭＳ Ｐゴシック"/>
            <family val="3"/>
            <charset val="128"/>
          </rPr>
          <t>選択ピースの待ちピース枠内移動による削除はタスク22の修正により没となった</t>
        </r>
      </text>
    </comment>
  </commentList>
</comments>
</file>

<file path=xl/sharedStrings.xml><?xml version="1.0" encoding="utf-8"?>
<sst xmlns="http://schemas.openxmlformats.org/spreadsheetml/2006/main" count="511" uniqueCount="367">
  <si>
    <t>F</t>
    <phoneticPr fontId="1"/>
  </si>
  <si>
    <t>I</t>
    <phoneticPr fontId="1"/>
  </si>
  <si>
    <t>L</t>
    <phoneticPr fontId="1"/>
  </si>
  <si>
    <t>N</t>
    <phoneticPr fontId="1"/>
  </si>
  <si>
    <t>P</t>
    <phoneticPr fontId="1"/>
  </si>
  <si>
    <t>T</t>
    <phoneticPr fontId="1"/>
  </si>
  <si>
    <t>U</t>
    <phoneticPr fontId="1"/>
  </si>
  <si>
    <t>V</t>
    <phoneticPr fontId="1"/>
  </si>
  <si>
    <t>W</t>
    <phoneticPr fontId="1"/>
  </si>
  <si>
    <t>X</t>
    <phoneticPr fontId="1"/>
  </si>
  <si>
    <t>Y</t>
    <phoneticPr fontId="1"/>
  </si>
  <si>
    <t>Z</t>
    <phoneticPr fontId="1"/>
  </si>
  <si>
    <t>Init</t>
    <phoneticPr fontId="1"/>
  </si>
  <si>
    <t>Pentのデータを準備する。ペントミノの定義は以下のとおり。</t>
    <phoneticPr fontId="1"/>
  </si>
  <si>
    <t>ピースの中心点、0ならば空白チェックの必要なマス、100ならば他のピース部分ないし5以上の</t>
    <phoneticPr fontId="1"/>
  </si>
  <si>
    <t>空白部分が確認された空白マスを示す。</t>
    <phoneticPr fontId="1"/>
  </si>
  <si>
    <t>Loop</t>
    <phoneticPr fontId="1"/>
  </si>
  <si>
    <t>　3.270度回転 4.上下反転 5.反転+90度回転 6.反転+180度回転 7.反転+270度回転、とする。</t>
    <phoneticPr fontId="1"/>
  </si>
  <si>
    <t>Table[7][13]を定義する。さらにboard(int), check(int)を同時に定義する。</t>
    <phoneticPr fontId="1"/>
  </si>
  <si>
    <t>Table[][].checkはピースセット後の確認で使われる。-1ならば空白、1～12ならば相当する</t>
    <phoneticPr fontId="1"/>
  </si>
  <si>
    <t>ペントミノは全部で12種類。形は左の通りでF,I,L,N,P,S,T,U,V,W,X,Y,Zと名付ける。</t>
    <phoneticPr fontId="1"/>
  </si>
  <si>
    <t>ピースをそれぞれ90,180,270度回転させた座標、上下反転させた座標も定義する。</t>
    <phoneticPr fontId="1"/>
  </si>
  <si>
    <t>Pentにangleを定義する。これはピースの状態を示す。0.原型 1.90度回転 2.180度回転</t>
    <phoneticPr fontId="1"/>
  </si>
  <si>
    <t>3-2</t>
    <phoneticPr fontId="1"/>
  </si>
  <si>
    <t>Forbiddenを定義する。さらにrevolution(bool),upset(bool)を定義する。</t>
    <phoneticPr fontId="1"/>
  </si>
  <si>
    <t>revolutionはピースの回転を禁止する。Trueの時は原型,upset,upset180(左右反転)のみ有効。</t>
    <rPh sb="15" eb="17">
      <t>カイテン</t>
    </rPh>
    <rPh sb="18" eb="20">
      <t>キンシ</t>
    </rPh>
    <rPh sb="28" eb="29">
      <t>トキ</t>
    </rPh>
    <phoneticPr fontId="1"/>
  </si>
  <si>
    <t>upsetはピースの反転を禁止する。Trueの時は原型,rev90,rev180,rev270のみ有効。</t>
    <phoneticPr fontId="1"/>
  </si>
  <si>
    <t>上記二ついずれもTrueの時は原型,upset90,upset270のみ有効となり、ゲームプレイ時には正解</t>
    <phoneticPr fontId="1"/>
  </si>
  <si>
    <t>の盤面に適用されたangleのみ操作できるようになる。それ以外は条件次第で回転・反転が可能。</t>
    <phoneticPr fontId="1"/>
  </si>
  <si>
    <t>1</t>
    <phoneticPr fontId="1"/>
  </si>
  <si>
    <t>1-1</t>
    <phoneticPr fontId="1"/>
  </si>
  <si>
    <t>1-2</t>
    <phoneticPr fontId="1"/>
  </si>
  <si>
    <t>1-3</t>
    <phoneticPr fontId="1"/>
  </si>
  <si>
    <t>1-4</t>
    <phoneticPr fontId="1"/>
  </si>
  <si>
    <t>1-5</t>
    <phoneticPr fontId="1"/>
  </si>
  <si>
    <t>1-6</t>
    <phoneticPr fontId="1"/>
  </si>
  <si>
    <t>1-7</t>
    <phoneticPr fontId="1"/>
  </si>
  <si>
    <t>2</t>
    <phoneticPr fontId="1"/>
  </si>
  <si>
    <t>3</t>
    <phoneticPr fontId="1"/>
  </si>
  <si>
    <t>4</t>
    <phoneticPr fontId="1"/>
  </si>
  <si>
    <t>て1以上になればループを抜ける。これはルール次第ではORにもANDにもなりうる。</t>
    <phoneticPr fontId="1"/>
  </si>
  <si>
    <t>Setstack.num[12]が1以上、というのは全ピースが盤面に組み込まれたことを示す。</t>
    <phoneticPr fontId="1"/>
  </si>
  <si>
    <t>Table.boardの盤面が全て1以上というのはピースの残りにかかわらずすべての盤面が埋まった</t>
    <phoneticPr fontId="1"/>
  </si>
  <si>
    <t>ことを示す。</t>
    <phoneticPr fontId="1"/>
  </si>
  <si>
    <t>pentはボードにセットされたピースを示す。参照渡しで登録する。</t>
    <phoneticPr fontId="1"/>
  </si>
  <si>
    <t>numはボードにセットされた順番を示す。0ならセット前となる。</t>
    <phoneticPr fontId="1"/>
  </si>
  <si>
    <t>choiceは盤面にはめ込むピースの順番を示す。Initにてランダムに決定される。</t>
    <phoneticPr fontId="1"/>
  </si>
  <si>
    <t>Set</t>
    <phoneticPr fontId="1"/>
  </si>
  <si>
    <t>ループ開始時にSetpieceを確認し、Setpiece.num[12]が1以上、もしくはTable.boardの盤面が全</t>
    <phoneticPr fontId="1"/>
  </si>
  <si>
    <t>Table.boardの左上から調べ、空白のマス(0)を調べる。</t>
    <phoneticPr fontId="1"/>
  </si>
  <si>
    <t>空白のマスが存在した場合、その座標をpx,pyとする。</t>
    <phoneticPr fontId="1"/>
  </si>
  <si>
    <t>Table[px][py]をピースの中心点とし、他ピース部分と共にピースがセットできるかを調べる。</t>
    <phoneticPr fontId="1"/>
  </si>
  <si>
    <t>Pent.angleを0(原型)から7(upset270)まで調べる。この時Table[px + Pent(n).x][py + Pent(n).y]が0の場合、</t>
    <phoneticPr fontId="1"/>
  </si>
  <si>
    <t>0 &lt; px + Pent(n) &lt; 12かつ0 &lt; xpy + Pent(n).y &lt; 7 を全て満たした場合、選択されたピースをセットする。</t>
    <phoneticPr fontId="1"/>
  </si>
  <si>
    <t>ピースをセットする時にTable.boardの該当する座標をセットされた順番を引数として更新する。さらにSetpie</t>
    <phoneticPr fontId="1"/>
  </si>
  <si>
    <t>Setpiece.choiceを調べ、最も少ない数のピースを選択する。この時選択された順番数をchoiceとする。</t>
    <phoneticPr fontId="1"/>
  </si>
  <si>
    <t>Check</t>
    <phoneticPr fontId="1"/>
  </si>
  <si>
    <t>Table[][].boardはボードの状況を示す。0なら空白、1～12なら相当するピースが存在する。さらにその数字</t>
    <phoneticPr fontId="1"/>
  </si>
  <si>
    <t xml:space="preserve"> +100の場合はその数字ペントミノの中心点を示す。</t>
    <phoneticPr fontId="1"/>
  </si>
  <si>
    <t>Table.checkを初期化し、全マスデータを-1にする。</t>
    <phoneticPr fontId="1"/>
  </si>
  <si>
    <t>各ピースの中心点は青部分とし、他赤部分は青部分からの直交座標によりfanとして定義する。</t>
    <phoneticPr fontId="1"/>
  </si>
  <si>
    <t>例；F.fan { (0,1), (-1,0), (0,-1), (1,-1)｝</t>
    <phoneticPr fontId="1"/>
  </si>
  <si>
    <t xml:space="preserve">例；F.rev90｛(F.fan[1].y,F.fan[1].x * -1)・・・}F.rev180｛(F.fan[1].x * -1,F.fan[1].y * -1)・・・} </t>
    <phoneticPr fontId="1"/>
  </si>
  <si>
    <t>F.upset｛(F.fan[1].x ,F.fan[1].y * -1)・・・} upset90,upset180,upset270も定義する。</t>
    <phoneticPr fontId="1"/>
  </si>
  <si>
    <t>rev270{(F.fan[1].y * -1,F.fan[1].x)・・・}</t>
    <phoneticPr fontId="1"/>
  </si>
  <si>
    <t>座標の前後左右が空白(-1)だった場合0にする。</t>
    <phoneticPr fontId="1"/>
  </si>
  <si>
    <t>Table.boardを参考に、中心点を順番数(-100)、その他fanの部分を100とする。この時いずれの部分の</t>
    <phoneticPr fontId="1"/>
  </si>
  <si>
    <t>Setpiece[12]を定義する。さらにpent(Pent),choice(int),num(int),cx(int),cy(int)を定義する。</t>
    <phoneticPr fontId="1"/>
  </si>
  <si>
    <t>cx,cyはピースがセットされた時の盤面座標が登録される。</t>
    <phoneticPr fontId="1"/>
  </si>
  <si>
    <t>Table.checkの左上から右下まで調査対象となる0があるマスを調べる。</t>
    <phoneticPr fontId="1"/>
  </si>
  <si>
    <t>0のマスから上下左右に再帰関数によって空白マス数を調べていく。空白が5マス確認された段階で100を挿</t>
    <phoneticPr fontId="1"/>
  </si>
  <si>
    <t>入する。0のマスも同様。この時他の0のマスないし-1のマスのみ100を挿入する。</t>
    <phoneticPr fontId="1"/>
  </si>
  <si>
    <t>再帰関数によって5マス以上の空白が確認されなかった場合Remove関数を実行する。</t>
    <phoneticPr fontId="1"/>
  </si>
  <si>
    <t>Remove</t>
    <phoneticPr fontId="1"/>
  </si>
  <si>
    <t>Pent.cx,Pent.cyにpx,pyをそれぞれ代入する。</t>
    <phoneticPr fontId="1"/>
  </si>
  <si>
    <t>Pent.fan,Setpiece.cx,Setpiece.cyを参考にTable.board,Setpiece.numを初期化する。</t>
    <phoneticPr fontId="1"/>
  </si>
  <si>
    <t>Setに戻り、別のAngleで再度調べる。</t>
    <phoneticPr fontId="1"/>
  </si>
  <si>
    <t>Display</t>
    <phoneticPr fontId="1"/>
  </si>
  <si>
    <t>Table.board,Table.checkを元に画面に盤面を表示する。また空白の調査対象であるマスは少し濃く表示する。</t>
    <phoneticPr fontId="1"/>
  </si>
  <si>
    <t>ペントミノ画像</t>
    <phoneticPr fontId="1"/>
  </si>
  <si>
    <t>3.外縁2～3pxを濃灰色(100,100,100)とする。</t>
    <phoneticPr fontId="1"/>
  </si>
  <si>
    <t>1.ペントミノを構成する正方形は幅20pxを基本とする。</t>
    <phoneticPr fontId="1"/>
  </si>
  <si>
    <t>2.最外縁1pxを白灰色(200,200,200)とする。</t>
    <phoneticPr fontId="1"/>
  </si>
  <si>
    <t>4.中心部4～10pxを灰色(127,127,127)とする。</t>
    <phoneticPr fontId="1"/>
  </si>
  <si>
    <t>5.プログラム内では選択順により12色のいずれかで色分けを</t>
    <phoneticPr fontId="1"/>
  </si>
  <si>
    <t>する。この時濃灰色、灰色部分のみ着色を行う。濃淡も分ける。</t>
    <phoneticPr fontId="1"/>
  </si>
  <si>
    <t>ce.numにsetpiece[choice].num = choice % 13を代入する。中心点の場合は+100する。</t>
    <phoneticPr fontId="1"/>
  </si>
  <si>
    <t>もしもピースがセットされなかった場合はSetpiece[choice].choice += 13とし、選択順の最後列に回す。</t>
    <phoneticPr fontId="1"/>
  </si>
  <si>
    <t>imgx</t>
    <phoneticPr fontId="1"/>
  </si>
  <si>
    <t>imgy</t>
    <phoneticPr fontId="1"/>
  </si>
  <si>
    <t>P</t>
    <phoneticPr fontId="1"/>
  </si>
  <si>
    <t>F</t>
    <phoneticPr fontId="1"/>
  </si>
  <si>
    <t>I</t>
    <phoneticPr fontId="1"/>
  </si>
  <si>
    <t>N</t>
    <phoneticPr fontId="1"/>
  </si>
  <si>
    <t>T</t>
    <phoneticPr fontId="1"/>
  </si>
  <si>
    <t>U</t>
    <phoneticPr fontId="1"/>
  </si>
  <si>
    <t>W</t>
    <phoneticPr fontId="1"/>
  </si>
  <si>
    <t>X</t>
    <phoneticPr fontId="1"/>
  </si>
  <si>
    <t>Y</t>
    <phoneticPr fontId="1"/>
  </si>
  <si>
    <t>Z</t>
    <phoneticPr fontId="1"/>
  </si>
  <si>
    <t>V</t>
    <phoneticPr fontId="1"/>
  </si>
  <si>
    <t>L</t>
    <phoneticPr fontId="1"/>
  </si>
  <si>
    <t>1手戻す</t>
    <phoneticPr fontId="1"/>
  </si>
  <si>
    <t>最初から</t>
    <phoneticPr fontId="1"/>
  </si>
  <si>
    <t>Porse</t>
    <phoneticPr fontId="1"/>
  </si>
  <si>
    <t>残り 9ピース</t>
    <phoneticPr fontId="1"/>
  </si>
  <si>
    <t>セル1つあたり(20x,20y)</t>
    <phoneticPr fontId="1"/>
  </si>
  <si>
    <t>プレイヤー操作一覧</t>
    <phoneticPr fontId="1"/>
  </si>
  <si>
    <t>残りピース数表示(1-160x,380-440y)</t>
    <phoneticPr fontId="1"/>
  </si>
  <si>
    <t xml:space="preserve">   マス1つあたり(40x,40y)</t>
    <phoneticPr fontId="1"/>
  </si>
  <si>
    <t>メインピースをクリック</t>
    <phoneticPr fontId="1"/>
  </si>
  <si>
    <t>待ちピースをクリック</t>
    <phoneticPr fontId="1"/>
  </si>
  <si>
    <t>ピースをドラッグ</t>
    <phoneticPr fontId="1"/>
  </si>
  <si>
    <t>ピースを盤面にドラッグ</t>
    <phoneticPr fontId="1"/>
  </si>
  <si>
    <t>ピースをドラッグしつつ離す</t>
    <phoneticPr fontId="1"/>
  </si>
  <si>
    <t>回転ボタンを押す</t>
    <phoneticPr fontId="1"/>
  </si>
  <si>
    <t>上下反転ボタンを押す</t>
    <phoneticPr fontId="1"/>
  </si>
  <si>
    <t>左右反転ボタンを押す</t>
    <phoneticPr fontId="1"/>
  </si>
  <si>
    <t>設置済みピースをクリック</t>
    <phoneticPr fontId="1"/>
  </si>
  <si>
    <t>Nextボタンを押す</t>
    <phoneticPr fontId="1"/>
  </si>
  <si>
    <t>1手戻すボタンを押す</t>
    <phoneticPr fontId="1"/>
  </si>
  <si>
    <t>メインピースを選択状態にする。同時に回転・上下反転・左右反転ボタンを出現させる。</t>
    <phoneticPr fontId="1"/>
  </si>
  <si>
    <t>設置済みピースを選択状態にする。あとは1と同様。</t>
    <phoneticPr fontId="1"/>
  </si>
  <si>
    <t>マウスカーソルにピースの中心点を合わせつつ移動させる。大きさは元画像の2倍。</t>
    <phoneticPr fontId="1"/>
  </si>
  <si>
    <t>カーソル位置があるマスを中心マスとし、設置可能な場合は設置範囲を点滅させる。</t>
    <phoneticPr fontId="1"/>
  </si>
  <si>
    <t>選択状態にあるピースを90度回転させる。</t>
    <phoneticPr fontId="1"/>
  </si>
  <si>
    <t>選択状態にあるピースを上下反転させる。</t>
    <phoneticPr fontId="1"/>
  </si>
  <si>
    <t>選択状態にあるピースを左右反転(上下反転+180度回転)させる。</t>
    <phoneticPr fontId="1"/>
  </si>
  <si>
    <t>メインピースを待ちピース列の最後に回し、次の待ちピースをメインピースに据える。</t>
    <phoneticPr fontId="1"/>
  </si>
  <si>
    <t>最初からボタンを押す</t>
    <phoneticPr fontId="1"/>
  </si>
  <si>
    <t>Porseボタンを押す</t>
    <phoneticPr fontId="1"/>
  </si>
  <si>
    <t>盤面に設置可能な場合は選択状態を解除し、回転・反転ボタンも消去する。設置不可の場合は選択状態を続ける。</t>
    <phoneticPr fontId="1"/>
  </si>
  <si>
    <t>最後に設置されたピースを待ちピース列に戻す。</t>
    <phoneticPr fontId="1"/>
  </si>
  <si>
    <t>ゲームを最初の状態に戻す。なおボタンを押した直後に確認のメッセージを表示する。</t>
    <phoneticPr fontId="1"/>
  </si>
  <si>
    <t>「ゲームを続ける」をクリック</t>
    <phoneticPr fontId="1"/>
  </si>
  <si>
    <t>「StageSelectに戻る」をクリック</t>
    <phoneticPr fontId="1"/>
  </si>
  <si>
    <t>「タイトルに戻る」をクリック</t>
    <phoneticPr fontId="1"/>
  </si>
  <si>
    <t>ゲームをポーズ状態にする。そして下記の15～17の文字列を表示する。</t>
    <phoneticPr fontId="1"/>
  </si>
  <si>
    <t>ポーズ状態からゲーム状態に戻る。</t>
    <phoneticPr fontId="1"/>
  </si>
  <si>
    <t>ゲームを終了し、タイトル画面に戻る。この時確認のメッセージを表示する。</t>
    <phoneticPr fontId="1"/>
  </si>
  <si>
    <t>ゲームを終了し、ステージ選択画面に戻る。この時確認のメッセージを表示する。</t>
    <phoneticPr fontId="1"/>
  </si>
  <si>
    <t>待ちピースを選択状態にする。この時選択されたピースを拡大し他の待ちピースを詰めて表示する。あとは上記と同様。</t>
    <phoneticPr fontId="1"/>
  </si>
  <si>
    <t>ピースをダブルクリック</t>
    <phoneticPr fontId="1"/>
  </si>
  <si>
    <t>クリックされたピースを取り外し、消去する。同時に待ちピース列orメインピース枠に表示する。</t>
    <phoneticPr fontId="1"/>
  </si>
  <si>
    <t>ヒント</t>
    <phoneticPr fontId="1"/>
  </si>
  <si>
    <t>ヒントボタンを押す</t>
    <phoneticPr fontId="1"/>
  </si>
  <si>
    <t>解答盤面データを参考にヒントを出す。なお5回ヒントを出すごとに広告を再生するが確認メッセージを出す。</t>
    <phoneticPr fontId="1"/>
  </si>
  <si>
    <t>盤面(440x,280y)</t>
    <phoneticPr fontId="1"/>
  </si>
  <si>
    <t xml:space="preserve">   左上(20x,20y)</t>
    <phoneticPr fontId="1"/>
  </si>
  <si>
    <t xml:space="preserve">   右下(460x,300y)</t>
    <phoneticPr fontId="1"/>
  </si>
  <si>
    <t xml:space="preserve">   外縁(20-40・420-440x,20-40・280-300y)</t>
    <phoneticPr fontId="1"/>
  </si>
  <si>
    <t>待ちピース列(210-510x,360-430y)</t>
    <phoneticPr fontId="1"/>
  </si>
  <si>
    <t xml:space="preserve">   待ちピース(50x,50y)に縮小</t>
    <phoneticPr fontId="1"/>
  </si>
  <si>
    <t>メインピース枠(60-210x,320-470y)</t>
    <phoneticPr fontId="1"/>
  </si>
  <si>
    <t>Nextボタン(520-620x,20-80y)</t>
    <phoneticPr fontId="1"/>
  </si>
  <si>
    <t>Title</t>
    <phoneticPr fontId="1"/>
  </si>
  <si>
    <t>LevelSelect</t>
    <phoneticPr fontId="1"/>
  </si>
  <si>
    <t>StageSelect</t>
    <phoneticPr fontId="1"/>
  </si>
  <si>
    <t>Game</t>
    <phoneticPr fontId="1"/>
  </si>
  <si>
    <t>Porse</t>
    <phoneticPr fontId="1"/>
  </si>
  <si>
    <t>Clear</t>
    <phoneticPr fontId="1"/>
  </si>
  <si>
    <t>Movie</t>
    <phoneticPr fontId="1"/>
  </si>
  <si>
    <t>(X - a) ^2 / p ^ 2 + (Y - b) / q ^ 2 = 1</t>
    <phoneticPr fontId="1"/>
  </si>
  <si>
    <t>pow(Mouse.x - 90, 2.0) / pow(68, 2.0)) + (double)(pow(Mouse.y - 444, 2.0) / pow(25, 2.0)</t>
  </si>
  <si>
    <t>左利き用</t>
    <phoneticPr fontId="1"/>
  </si>
  <si>
    <t>右利き用</t>
    <phoneticPr fontId="1"/>
  </si>
  <si>
    <t>残りピース数表示(20-130x,360-430y)</t>
    <phoneticPr fontId="1"/>
  </si>
  <si>
    <t>待ちピース列(130-430x,360-430y)</t>
    <phoneticPr fontId="1"/>
  </si>
  <si>
    <t>160,230,300,370x-210,280,350,420x</t>
    <phoneticPr fontId="1"/>
  </si>
  <si>
    <t>370-420y</t>
    <phoneticPr fontId="1"/>
  </si>
  <si>
    <t>メインピース枠(430-580x,320-470y)</t>
    <phoneticPr fontId="1"/>
  </si>
  <si>
    <t>　メインピース(120x,120y)に縮小拡大</t>
    <phoneticPr fontId="1"/>
  </si>
  <si>
    <t>220,290,360,430x-270,340,410,480x</t>
    <phoneticPr fontId="1"/>
  </si>
  <si>
    <t>1手戻すボタン(490-610x,20-70y)</t>
    <phoneticPr fontId="1"/>
  </si>
  <si>
    <t>最初からボタン(490-610x,90-140y)</t>
    <phoneticPr fontId="1"/>
  </si>
  <si>
    <t>Porseボタン(490-610x,160-210y)</t>
    <phoneticPr fontId="1"/>
  </si>
  <si>
    <t>ヒントボタン(490-610x,230-280y)</t>
    <phoneticPr fontId="1"/>
  </si>
  <si>
    <t>445-565x 335-455y 505x395y</t>
    <phoneticPr fontId="1"/>
  </si>
  <si>
    <t>75-195x 335-455y 135x395y</t>
    <phoneticPr fontId="1"/>
  </si>
  <si>
    <t>//PlayerOperateの途中、待ちピース枠での比率補正、シングルクリック・ドラッグによる操作実装済み</t>
    <phoneticPr fontId="1"/>
  </si>
  <si>
    <t>pent[ ].fanを利用した空白域alpha[ ]の実装。さらに選択ピースをalpha[ ]の空白域クリックで移動しないようにする。</t>
    <phoneticPr fontId="1"/>
  </si>
  <si>
    <t>チェック</t>
    <phoneticPr fontId="1"/>
  </si>
  <si>
    <t>✔</t>
    <phoneticPr fontId="1"/>
  </si>
  <si>
    <t>実装日</t>
    <phoneticPr fontId="1"/>
  </si>
  <si>
    <t>メインピース枠、および選択ピースをクリックした時、枠ないし画像の左上座標からクリック位置差を計算しドラッグで位置取りを維持</t>
    <phoneticPr fontId="1"/>
  </si>
  <si>
    <t>選択ピースをダブルクリックした時、そのピースを消去し待ちピースの最後尾に回す。</t>
    <phoneticPr fontId="1"/>
  </si>
  <si>
    <t>選択ピースを盤面に設置、この動作を実装。また設置不可能な場合は引き続き選択状態を維持する。</t>
    <phoneticPr fontId="1"/>
  </si>
  <si>
    <t>設置済みピースをクリックした時、そのピースを選択状態にする。またダブルクリックした場合は設置済みでも消去する。</t>
    <phoneticPr fontId="1"/>
  </si>
  <si>
    <t>1手戻すボタンの実装。</t>
    <phoneticPr fontId="1"/>
  </si>
  <si>
    <t>やり直しボタンの実装。確認のメッセージを表示すること。</t>
    <phoneticPr fontId="1"/>
  </si>
  <si>
    <t>ヒントボタンの実装。この時広告要素は未実装のままとする。またヒントは最大で5回までとし、盤面の該当マスに色付けする。</t>
    <phoneticPr fontId="1"/>
  </si>
  <si>
    <t>LevelSelectでの詳細実装。戻るボタンの実装及びLevelラベルの作成と実装。</t>
    <phoneticPr fontId="1"/>
  </si>
  <si>
    <t>StageSelectでの実装。戻るボタンの実装及びプレイ可能・ロック中、クリア済みラベルの作成と実装。</t>
    <phoneticPr fontId="1"/>
  </si>
  <si>
    <t>レベルとステージ番号に応じたファイルデータをCSVファイルで作成。</t>
    <phoneticPr fontId="1"/>
  </si>
  <si>
    <t>クリア画面の作成と実装。この時セーブデータを更新すること。</t>
    <phoneticPr fontId="1"/>
  </si>
  <si>
    <t>セーブデータの実装。コンフィグ設定やゲームの進捗状態を保存。</t>
    <phoneticPr fontId="1"/>
  </si>
  <si>
    <t>ポーズ画面の作成と実装。</t>
    <phoneticPr fontId="1"/>
  </si>
  <si>
    <r>
      <t>待ちピース枠内をクリックした時、マウス座標を元にそのピースを選択状態にする。</t>
    </r>
    <r>
      <rPr>
        <sz val="11"/>
        <color theme="1"/>
        <rFont val="ＭＳ Ｐゴシック"/>
        <family val="2"/>
        <charset val="128"/>
        <scheme val="minor"/>
      </rPr>
      <t>その後クリックが離された時に待ちピースを詰める</t>
    </r>
    <phoneticPr fontId="1"/>
  </si>
  <si>
    <t>1.左上+Heightの位置から現在の中心点までのベクトルを求める。</t>
    <phoneticPr fontId="1"/>
  </si>
  <si>
    <t>2.上記のベクトルのY座標から-40する。</t>
    <phoneticPr fontId="1"/>
  </si>
  <si>
    <t>3.Xベクトル=1.ベクトルのY座標*-1</t>
    <phoneticPr fontId="1"/>
  </si>
  <si>
    <t>4.Yベクトル=1.ベクトルのX座標</t>
    <phoneticPr fontId="1"/>
  </si>
  <si>
    <t>回転・反転ボタンの処理をPlayerOperateにて実装。この時p[ ].imageとp[ ].width p[ ].heightを更新する。</t>
    <phoneticPr fontId="1"/>
  </si>
  <si>
    <t>pp</t>
    <phoneticPr fontId="1"/>
  </si>
  <si>
    <t>np</t>
    <phoneticPr fontId="1"/>
  </si>
  <si>
    <t>p</t>
    <phoneticPr fontId="1"/>
  </si>
  <si>
    <t>rank</t>
    <phoneticPr fontId="1"/>
  </si>
  <si>
    <t>root</t>
    <phoneticPr fontId="1"/>
  </si>
  <si>
    <t>Lento</t>
    <phoneticPr fontId="1"/>
  </si>
  <si>
    <t>Andante</t>
    <phoneticPr fontId="1"/>
  </si>
  <si>
    <t>Grave</t>
    <phoneticPr fontId="1"/>
  </si>
  <si>
    <t>Animato</t>
    <phoneticPr fontId="1"/>
  </si>
  <si>
    <t>Allegro</t>
    <phoneticPr fontId="1"/>
  </si>
  <si>
    <t>Presto</t>
    <phoneticPr fontId="1"/>
  </si>
  <si>
    <t>Adagio</t>
    <phoneticPr fontId="1"/>
  </si>
  <si>
    <t>のろく</t>
    <phoneticPr fontId="1"/>
  </si>
  <si>
    <t>ゆるやかに</t>
    <phoneticPr fontId="1"/>
  </si>
  <si>
    <t>歩く速さで</t>
    <phoneticPr fontId="1"/>
  </si>
  <si>
    <t>重々しく</t>
    <phoneticPr fontId="1"/>
  </si>
  <si>
    <t>元気な動き</t>
    <phoneticPr fontId="1"/>
  </si>
  <si>
    <t>陽気に</t>
    <phoneticPr fontId="1"/>
  </si>
  <si>
    <t>急速に</t>
    <phoneticPr fontId="1"/>
  </si>
  <si>
    <t>a2</t>
    <phoneticPr fontId="1"/>
  </si>
  <si>
    <t>e8</t>
    <phoneticPr fontId="1"/>
  </si>
  <si>
    <t>レベル</t>
    <phoneticPr fontId="1"/>
  </si>
  <si>
    <t>ステージ</t>
    <phoneticPr fontId="1"/>
  </si>
  <si>
    <t>回転禁止</t>
    <phoneticPr fontId="1"/>
  </si>
  <si>
    <t>使用不可</t>
    <phoneticPr fontId="1"/>
  </si>
  <si>
    <t>ヒント3</t>
  </si>
  <si>
    <t>ヒント4</t>
  </si>
  <si>
    <t>ヒント5</t>
  </si>
  <si>
    <t>設置済み(p-x-y-angle)</t>
    <phoneticPr fontId="1"/>
  </si>
  <si>
    <t>設置不可</t>
    <phoneticPr fontId="1"/>
  </si>
  <si>
    <t>反転禁止</t>
    <phoneticPr fontId="1"/>
  </si>
  <si>
    <t>Level</t>
    <phoneticPr fontId="1"/>
  </si>
  <si>
    <t>Stage</t>
    <phoneticPr fontId="1"/>
  </si>
  <si>
    <t>Reverse</t>
    <phoneticPr fontId="1"/>
  </si>
  <si>
    <t>Turn</t>
    <phoneticPr fontId="1"/>
  </si>
  <si>
    <t>Notuse</t>
    <phoneticPr fontId="1"/>
  </si>
  <si>
    <t>Preset</t>
    <phoneticPr fontId="1"/>
  </si>
  <si>
    <t>Hint1</t>
    <phoneticPr fontId="1"/>
  </si>
  <si>
    <t>Hint2</t>
  </si>
  <si>
    <t>Hint3</t>
  </si>
  <si>
    <t>Hint4</t>
  </si>
  <si>
    <t>Hint5</t>
  </si>
  <si>
    <t>Evil</t>
    <phoneticPr fontId="1"/>
  </si>
  <si>
    <t>ヒント2</t>
    <phoneticPr fontId="1"/>
  </si>
  <si>
    <t>設置済み(ppxxyyaa)</t>
    <phoneticPr fontId="1"/>
  </si>
  <si>
    <t>ヒント1(ppxxyyaa)</t>
    <phoneticPr fontId="1"/>
  </si>
  <si>
    <t>04090305</t>
    <phoneticPr fontId="1"/>
  </si>
  <si>
    <t>08040102</t>
    <phoneticPr fontId="1"/>
  </si>
  <si>
    <t>09060403</t>
    <phoneticPr fontId="1"/>
  </si>
  <si>
    <t>PPXXYYAA</t>
    <phoneticPr fontId="1"/>
  </si>
  <si>
    <t>08020500</t>
    <phoneticPr fontId="1"/>
  </si>
  <si>
    <t>09050402</t>
    <phoneticPr fontId="1"/>
  </si>
  <si>
    <t>07080500</t>
    <phoneticPr fontId="1"/>
  </si>
  <si>
    <t>10080300</t>
    <phoneticPr fontId="1"/>
  </si>
  <si>
    <t>01060300</t>
    <phoneticPr fontId="1"/>
  </si>
  <si>
    <t>0101～0105,0106～1006,1001～1005</t>
    <phoneticPr fontId="1"/>
  </si>
  <si>
    <t>0101～0205,0902～1006</t>
    <phoneticPr fontId="1"/>
  </si>
  <si>
    <t>0101～0401,0701～1001,0106～0406,0706～1006,0102,1002,0105,1005</t>
    <phoneticPr fontId="1"/>
  </si>
  <si>
    <t>0801～1002,0903～1003,0104～0206,0305～0306,0701,1004,0103,0406</t>
    <phoneticPr fontId="1"/>
  </si>
  <si>
    <t>0106～1006</t>
    <phoneticPr fontId="1"/>
  </si>
  <si>
    <t>0606～1006,0101～0501</t>
    <phoneticPr fontId="1"/>
  </si>
  <si>
    <t>0401～0701,0406～0706,0602,0505</t>
    <phoneticPr fontId="1"/>
  </si>
  <si>
    <t>0503～0604,0101～0201,0906～1006,0202,0905</t>
    <phoneticPr fontId="1"/>
  </si>
  <si>
    <t>0403～0704,0502,0605</t>
    <phoneticPr fontId="1"/>
  </si>
  <si>
    <t>0402～0404,0502～0503,0604～0605,0703～0705</t>
    <phoneticPr fontId="1"/>
  </si>
  <si>
    <t>0101～1006</t>
    <phoneticPr fontId="1"/>
  </si>
  <si>
    <t>①</t>
    <phoneticPr fontId="1"/>
  </si>
  <si>
    <t>②</t>
    <phoneticPr fontId="1"/>
  </si>
  <si>
    <t>③</t>
    <phoneticPr fontId="1"/>
  </si>
  <si>
    <t>④</t>
    <phoneticPr fontId="1"/>
  </si>
  <si>
    <t>0101～0601,0102～0105,1001～1005,0606～1006</t>
    <phoneticPr fontId="1"/>
  </si>
  <si>
    <t>0403～0405,0702～0704,0303,0504,0603,0804</t>
    <phoneticPr fontId="1"/>
  </si>
  <si>
    <t>0401～0403,0704～0706,0501～0601,0506～0606</t>
    <phoneticPr fontId="1"/>
  </si>
  <si>
    <t>0102～0302,0805～1005,0101,0303,0804,1006</t>
    <phoneticPr fontId="1"/>
  </si>
  <si>
    <t>0401～0601,0602～0702,0405～0505,0506～0706</t>
    <phoneticPr fontId="1"/>
  </si>
  <si>
    <t>L</t>
    <phoneticPr fontId="1"/>
  </si>
  <si>
    <t>N</t>
    <phoneticPr fontId="1"/>
  </si>
  <si>
    <t>CX</t>
    <phoneticPr fontId="1"/>
  </si>
  <si>
    <t>CY</t>
    <phoneticPr fontId="1"/>
  </si>
  <si>
    <t>WID</t>
    <phoneticPr fontId="1"/>
  </si>
  <si>
    <t>HEI</t>
    <phoneticPr fontId="1"/>
  </si>
  <si>
    <t>+</t>
    <phoneticPr fontId="1"/>
  </si>
  <si>
    <t>V</t>
    <phoneticPr fontId="1"/>
  </si>
  <si>
    <t>case 1://90度回転
   x = yy;
   y = xx * -1;
   break;
  case 2://180度回転
   x = xx * -1;
   y = yy * -1;
   break;
  case 3://270度回転
   x = yy * -1;
   y = xx;
   break;
  case 4://上下反転
   x = xx;
   y = yy * -1;
   break;
  case 5://上下反転&amp;90度回転
   x = yy * -1;
   y = xx * -1;
   break;
  case 6://上下反転&amp;180度回転
   x = xx * -1;
   y = yy;
   break;
  case 7://上下反転&amp;270度回転
   x = yy;
   y = xx;</t>
  </si>
  <si>
    <t>case 1://90度回転
   x = yy;
   y = xx * -1;
   break;
  case 2://180度回転
   x = xx * -1;
   y = yy * -1;
   break;
  case 3://270度回転
   x = yy * -1;
   y = xx;
   break;
  case 4://上下反転
   x = xx;
   y = yy * -1;
   break;
  case 5://上下反転&amp;90度回転
   x = yy * -1;
   y = xx * -1;
   break;
  case 6://上下反転&amp;180度回転
   x = xx * -1;
   y = yy;
   break;
  case 7://上下反転&amp;270度回転
   x = yy;
   y = xx;</t>
    <phoneticPr fontId="1"/>
  </si>
  <si>
    <t>-</t>
    <phoneticPr fontId="1"/>
  </si>
  <si>
    <t>連続でステージをプレイするときに次ステージのヒント画像の作成がおかしくなるバグの修正</t>
    <phoneticPr fontId="1"/>
  </si>
  <si>
    <t>ピース操作後別のピースを操作するときにワンクリックでは操作できないバグの修正</t>
    <phoneticPr fontId="1"/>
  </si>
  <si>
    <t>プレイヤー操作ボタンと元に戻る～ヒントボタンが重なる位置でのクリック時にプレイヤー操作ボタンに優先適用する修正</t>
    <phoneticPr fontId="1"/>
  </si>
  <si>
    <t>設定画面の作成と実装。この時Configと連動させる。</t>
    <phoneticPr fontId="1"/>
  </si>
  <si>
    <t>Porse画面(280x,320y)</t>
    <phoneticPr fontId="1"/>
  </si>
  <si>
    <t>左上(180x,80y)</t>
    <phoneticPr fontId="1"/>
  </si>
  <si>
    <t>Porse</t>
    <phoneticPr fontId="1"/>
  </si>
  <si>
    <t>ゲームを続ける</t>
    <phoneticPr fontId="1"/>
  </si>
  <si>
    <t>ステージ選択に戻る</t>
    <phoneticPr fontId="1"/>
  </si>
  <si>
    <t>タイトルに戻る</t>
    <phoneticPr fontId="1"/>
  </si>
  <si>
    <t>ゲームを続ける(210x180y)</t>
    <phoneticPr fontId="1"/>
  </si>
  <si>
    <t>ステージ選択に戻る(210x250y)</t>
    <phoneticPr fontId="1"/>
  </si>
  <si>
    <t>タイトルに戻る(210x320y)</t>
    <phoneticPr fontId="1"/>
  </si>
  <si>
    <t>各種選択肢（220x,40y)</t>
    <phoneticPr fontId="1"/>
  </si>
  <si>
    <r>
      <t>選択ピースをメインピース枠内にドラッグして離した時、メインピース枠内に戻す。</t>
    </r>
    <r>
      <rPr>
        <u val="double"/>
        <sz val="11"/>
        <color theme="1"/>
        <rFont val="ＭＳ Ｐゴシック"/>
        <family val="3"/>
        <charset val="128"/>
        <scheme val="minor"/>
      </rPr>
      <t>待ちピース枠内の時は最後尾に回す。</t>
    </r>
    <phoneticPr fontId="1"/>
  </si>
  <si>
    <t>画面上部にて選択ピースを回転操作するとピースが画面上外に移動するバグの修正</t>
    <phoneticPr fontId="1"/>
  </si>
  <si>
    <t>ex1</t>
    <phoneticPr fontId="1"/>
  </si>
  <si>
    <t>ex2</t>
    <phoneticPr fontId="1"/>
  </si>
  <si>
    <t>Forbidden.borderの実装。マスとマスの間にある境界線に跨るピースは設置できなくなる。</t>
    <phoneticPr fontId="1"/>
  </si>
  <si>
    <t>borderのsort実用化</t>
    <phoneticPr fontId="1"/>
  </si>
  <si>
    <t>BGM・SEによる装飾の実装</t>
    <phoneticPr fontId="1"/>
  </si>
  <si>
    <t>NO</t>
    <phoneticPr fontId="1"/>
  </si>
  <si>
    <t>YES</t>
    <phoneticPr fontId="1"/>
  </si>
  <si>
    <t>button</t>
    <phoneticPr fontId="1"/>
  </si>
  <si>
    <t>clear</t>
    <phoneticPr fontId="1"/>
  </si>
  <si>
    <t>Setting</t>
    <phoneticPr fontId="1"/>
  </si>
  <si>
    <t>foolproof</t>
    <phoneticPr fontId="1"/>
  </si>
  <si>
    <t>0202～0402,0705～0905,0101,0503,0604,1006</t>
    <phoneticPr fontId="1"/>
  </si>
  <si>
    <t>0601,0402,0603,0404,0605</t>
  </si>
  <si>
    <t>0503～0604,0201,0901,0104,1003,0206,0906</t>
    <phoneticPr fontId="1"/>
  </si>
  <si>
    <t>0606～1006</t>
  </si>
  <si>
    <t>01070303</t>
  </si>
  <si>
    <t>0102～0106</t>
    <phoneticPr fontId="1"/>
  </si>
  <si>
    <t>05090505</t>
  </si>
  <si>
    <t>0801～0901,1001～1003</t>
  </si>
  <si>
    <t>09020402</t>
  </si>
  <si>
    <t>03090603</t>
  </si>
  <si>
    <t>0502～0902</t>
  </si>
  <si>
    <t>0101～0202,0705～0805,0806～1006,1005</t>
    <phoneticPr fontId="1"/>
  </si>
  <si>
    <t>0106～0406,0105</t>
    <phoneticPr fontId="1"/>
  </si>
  <si>
    <t>1001～1005,0901～0903,0802,0804</t>
    <phoneticPr fontId="1"/>
  </si>
  <si>
    <t>NewInfoの実装</t>
    <phoneticPr fontId="1"/>
  </si>
  <si>
    <t>0101～0103,1004～1006,0803,0304,0203,0904</t>
    <phoneticPr fontId="1"/>
  </si>
  <si>
    <t>minostyleの実装。Configに応じてピースの柄を変更する。</t>
    <phoneticPr fontId="1"/>
  </si>
  <si>
    <t>ex3</t>
    <phoneticPr fontId="1"/>
  </si>
  <si>
    <t>0101～0201,0902～1002,0105～0205,0906～1006,0603,0504</t>
    <phoneticPr fontId="1"/>
  </si>
  <si>
    <t>0501～0503,0406～0606,0103,0304,0803,1004</t>
    <phoneticPr fontId="1"/>
  </si>
  <si>
    <t>0502～0506,0206～0606</t>
  </si>
  <si>
    <t>0202,0403,0604,0805,1006</t>
  </si>
  <si>
    <t>0301,0106,0405,0702,0806</t>
  </si>
  <si>
    <t>0503～0604,0101,0103,0302,0805,1004,1006</t>
    <phoneticPr fontId="1"/>
  </si>
  <si>
    <t>0103,0204,0303,0404,0503</t>
  </si>
  <si>
    <t>0501,0703,0303,0405,0605</t>
  </si>
  <si>
    <t>0101～0301,0706～1006,0103,0105,1002,1004</t>
    <phoneticPr fontId="1"/>
  </si>
  <si>
    <t>0801～1006,0701,0706</t>
    <phoneticPr fontId="1"/>
  </si>
  <si>
    <t>0101～0202,0105～0206,0901～1006</t>
  </si>
  <si>
    <t>10050400</t>
  </si>
  <si>
    <t>0101～0106,0206～1006</t>
  </si>
  <si>
    <t>06090201</t>
  </si>
  <si>
    <t>02050201</t>
  </si>
  <si>
    <t>08100102</t>
  </si>
  <si>
    <t>0101～0106,0804～1006</t>
  </si>
  <si>
    <t>07020501</t>
  </si>
  <si>
    <t>0106～1006</t>
  </si>
  <si>
    <t>0503～0604,0705～0805,0706～1006</t>
  </si>
  <si>
    <t>0901～1002,0105～0206,0905～1006,0101,0102,0201</t>
    <phoneticPr fontId="1"/>
  </si>
  <si>
    <t>0501～0602,0504～0606</t>
  </si>
  <si>
    <t>0103～0303,0904～1004,0506～0606,0204,0903</t>
    <phoneticPr fontId="1"/>
  </si>
  <si>
    <t>0101～1001</t>
    <phoneticPr fontId="1"/>
  </si>
  <si>
    <t>0902～1006</t>
    <phoneticPr fontId="1"/>
  </si>
  <si>
    <t>0101～1001,0902～1006</t>
  </si>
  <si>
    <t>0101～0402,0901～1006</t>
    <phoneticPr fontId="1"/>
  </si>
  <si>
    <t>0101～0601,0302～0602,0505～0805,0506～1006</t>
    <phoneticPr fontId="1"/>
  </si>
  <si>
    <t>0105～0306,0801～1002,0502～0605</t>
    <phoneticPr fontId="1"/>
  </si>
  <si>
    <t>0902～0905,1001～1006</t>
    <phoneticPr fontId="1"/>
  </si>
  <si>
    <t>rest</t>
    <phoneticPr fontId="1"/>
  </si>
  <si>
    <t>選択ピースを画面外に移動させると回収できず、さらに他のボタンも機能しなくなるバグの修正→画面外から出ないように修正</t>
    <phoneticPr fontId="1"/>
  </si>
  <si>
    <t>選択ピースを盤面まで移動させた時、設置可能な場合は該当マスを点灯させる。設置不可マスも考慮すること。</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</si>
</sst>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b/>
      <sz val="11"/>
      <name val="ＭＳ Ｐゴシック"/>
      <family val="3"/>
      <charset val="128"/>
      <scheme val="minor"/>
    </font>
    <font>
      <b/>
      <sz val="11"/>
      <color theme="1"/>
      <name val="ＭＳ Ｐゴシック"/>
      <family val="3"/>
      <charset val="128"/>
      <scheme val="major"/>
    </font>
    <font>
      <sz val="11"/>
      <color rgb="FF000000"/>
      <name val="Calibri"/>
      <family val="2"/>
    </font>
    <font>
      <b/>
      <sz val="14"/>
      <color theme="1"/>
      <name val="ＭＳ Ｐゴシック"/>
      <family val="3"/>
      <charset val="128"/>
      <scheme val="minor"/>
    </font>
    <font>
      <sz val="22"/>
      <color theme="1"/>
      <name val="ＭＳ Ｐゴシック"/>
      <family val="2"/>
      <charset val="128"/>
      <scheme val="minor"/>
    </font>
    <font>
      <sz val="11"/>
      <color rgb="FFFF0000"/>
      <name val="ＭＳ Ｐゴシック"/>
      <family val="2"/>
      <charset val="128"/>
      <scheme val="minor"/>
    </font>
    <font>
      <sz val="11"/>
      <color theme="1"/>
      <name val="ＭＳ Ｐゴシック"/>
      <family val="3"/>
      <charset val="128"/>
      <scheme val="minor"/>
    </font>
    <font>
      <b/>
      <sz val="24"/>
      <color theme="1"/>
      <name val="ＭＳ Ｐゴシック"/>
      <family val="3"/>
      <charset val="128"/>
      <scheme val="minor"/>
    </font>
    <font>
      <b/>
      <sz val="18"/>
      <color theme="1"/>
      <name val="ＭＳ Ｐゴシック"/>
      <family val="3"/>
      <charset val="128"/>
      <scheme val="minor"/>
    </font>
    <font>
      <b/>
      <sz val="16"/>
      <color theme="1"/>
      <name val="ＭＳ Ｐゴシック"/>
      <family val="3"/>
      <charset val="128"/>
      <scheme val="minor"/>
    </font>
    <font>
      <b/>
      <sz val="11"/>
      <color theme="0"/>
      <name val="ＭＳ Ｐゴシック"/>
      <family val="3"/>
      <charset val="128"/>
      <scheme val="minor"/>
    </font>
    <font>
      <b/>
      <sz val="30"/>
      <color theme="1"/>
      <name val="ＭＳ Ｐゴシック"/>
      <family val="3"/>
      <charset val="128"/>
      <scheme val="minor"/>
    </font>
    <font>
      <sz val="9"/>
      <color indexed="81"/>
      <name val="ＭＳ Ｐゴシック"/>
      <family val="3"/>
      <charset val="128"/>
    </font>
    <font>
      <b/>
      <sz val="9"/>
      <color indexed="81"/>
      <name val="ＭＳ Ｐゴシック"/>
      <family val="3"/>
      <charset val="128"/>
    </font>
    <font>
      <u val="double"/>
      <sz val="11"/>
      <color theme="1"/>
      <name val="ＭＳ Ｐゴシック"/>
      <family val="3"/>
      <charset val="128"/>
      <scheme val="minor"/>
    </font>
  </fonts>
  <fills count="12">
    <fill>
      <patternFill patternType="none"/>
    </fill>
    <fill>
      <patternFill patternType="gray125"/>
    </fill>
    <fill>
      <patternFill patternType="solid">
        <fgColor rgb="FFFF0000"/>
        <bgColor indexed="64"/>
      </patternFill>
    </fill>
    <fill>
      <patternFill patternType="solid">
        <fgColor rgb="FF00B0F0"/>
        <bgColor indexed="64"/>
      </patternFill>
    </fill>
    <fill>
      <patternFill patternType="solid">
        <fgColor theme="5" tint="0.39997558519241921"/>
        <bgColor indexed="64"/>
      </patternFill>
    </fill>
    <fill>
      <patternFill patternType="solid">
        <fgColor theme="5" tint="-0.49998474074526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1"/>
        <bgColor indexed="64"/>
      </patternFill>
    </fill>
    <fill>
      <patternFill patternType="solid">
        <fgColor theme="6" tint="0.59999389629810485"/>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rgb="FFFF0000"/>
      </left>
      <right style="thin">
        <color indexed="64"/>
      </right>
      <top style="medium">
        <color rgb="FFFF0000"/>
      </top>
      <bottom style="thin">
        <color indexed="64"/>
      </bottom>
      <diagonal/>
    </border>
    <border>
      <left style="thin">
        <color indexed="64"/>
      </left>
      <right style="thin">
        <color indexed="64"/>
      </right>
      <top style="medium">
        <color rgb="FFFF0000"/>
      </top>
      <bottom style="thin">
        <color indexed="64"/>
      </bottom>
      <diagonal/>
    </border>
    <border>
      <left style="thin">
        <color indexed="64"/>
      </left>
      <right style="medium">
        <color rgb="FFFF0000"/>
      </right>
      <top style="medium">
        <color rgb="FFFF0000"/>
      </top>
      <bottom style="thin">
        <color indexed="64"/>
      </bottom>
      <diagonal/>
    </border>
    <border>
      <left style="medium">
        <color rgb="FFFF0000"/>
      </left>
      <right style="thin">
        <color indexed="64"/>
      </right>
      <top style="thin">
        <color indexed="64"/>
      </top>
      <bottom style="thin">
        <color indexed="64"/>
      </bottom>
      <diagonal/>
    </border>
    <border>
      <left style="thin">
        <color indexed="64"/>
      </left>
      <right style="medium">
        <color rgb="FFFF0000"/>
      </right>
      <top style="thin">
        <color indexed="64"/>
      </top>
      <bottom style="thin">
        <color indexed="64"/>
      </bottom>
      <diagonal/>
    </border>
    <border>
      <left style="medium">
        <color rgb="FFFF0000"/>
      </left>
      <right style="thin">
        <color indexed="64"/>
      </right>
      <top style="thin">
        <color indexed="64"/>
      </top>
      <bottom style="medium">
        <color rgb="FFFF0000"/>
      </bottom>
      <diagonal/>
    </border>
    <border>
      <left style="thin">
        <color indexed="64"/>
      </left>
      <right style="thin">
        <color indexed="64"/>
      </right>
      <top style="thin">
        <color indexed="64"/>
      </top>
      <bottom style="medium">
        <color rgb="FFFF0000"/>
      </bottom>
      <diagonal/>
    </border>
    <border>
      <left style="thin">
        <color indexed="64"/>
      </left>
      <right style="medium">
        <color rgb="FFFF0000"/>
      </right>
      <top style="thin">
        <color indexed="64"/>
      </top>
      <bottom style="medium">
        <color rgb="FFFF0000"/>
      </bottom>
      <diagonal/>
    </border>
    <border>
      <left style="thin">
        <color indexed="64"/>
      </left>
      <right style="medium">
        <color rgb="FFFF0000"/>
      </right>
      <top/>
      <bottom style="thin">
        <color indexed="64"/>
      </bottom>
      <diagonal/>
    </border>
    <border>
      <left style="medium">
        <color rgb="FFFF0000"/>
      </left>
      <right style="thin">
        <color indexed="64"/>
      </right>
      <top/>
      <bottom style="thin">
        <color indexed="64"/>
      </bottom>
      <diagonal/>
    </border>
    <border>
      <left style="thin">
        <color indexed="64"/>
      </left>
      <right/>
      <top/>
      <bottom/>
      <diagonal/>
    </border>
  </borders>
  <cellStyleXfs count="1">
    <xf numFmtId="0" fontId="0" fillId="0" borderId="0">
      <alignment vertical="center"/>
    </xf>
  </cellStyleXfs>
  <cellXfs count="208">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2" borderId="0" xfId="0" applyFill="1" applyAlignment="1">
      <alignment horizontal="center" vertical="center"/>
    </xf>
    <xf numFmtId="0" fontId="0" fillId="0" borderId="0" xfId="0" applyFill="1" applyAlignment="1">
      <alignment horizontal="center" vertical="center"/>
    </xf>
    <xf numFmtId="0" fontId="3" fillId="3" borderId="0" xfId="0" applyFont="1" applyFill="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xf>
    <xf numFmtId="0" fontId="2" fillId="0" borderId="0" xfId="0" applyFont="1" applyAlignment="1">
      <alignment horizontal="left" vertical="center"/>
    </xf>
    <xf numFmtId="49" fontId="2" fillId="0" borderId="0" xfId="0" applyNumberFormat="1" applyFont="1" applyAlignment="1">
      <alignment horizontal="left" vertical="center"/>
    </xf>
    <xf numFmtId="0" fontId="2" fillId="0" borderId="0" xfId="0" applyNumberFormat="1" applyFont="1" applyAlignment="1">
      <alignment horizontal="left" vertical="center"/>
    </xf>
    <xf numFmtId="0" fontId="2" fillId="0" borderId="0" xfId="0" applyFont="1" applyAlignment="1">
      <alignment horizontal="center" vertical="center"/>
    </xf>
    <xf numFmtId="0" fontId="2" fillId="0" borderId="0" xfId="0" applyFont="1">
      <alignment vertical="center"/>
    </xf>
    <xf numFmtId="0" fontId="5" fillId="0" borderId="0" xfId="0" applyFont="1">
      <alignment vertical="center"/>
    </xf>
    <xf numFmtId="0" fontId="0" fillId="5" borderId="10" xfId="0" applyFill="1" applyBorder="1">
      <alignment vertical="center"/>
    </xf>
    <xf numFmtId="0" fontId="0" fillId="5" borderId="15" xfId="0" applyFill="1" applyBorder="1">
      <alignment vertical="center"/>
    </xf>
    <xf numFmtId="0" fontId="0" fillId="5" borderId="17" xfId="0" applyFill="1" applyBorder="1">
      <alignment vertical="center"/>
    </xf>
    <xf numFmtId="0" fontId="0" fillId="5" borderId="12" xfId="0" applyFill="1" applyBorder="1">
      <alignment vertical="center"/>
    </xf>
    <xf numFmtId="0" fontId="0" fillId="0" borderId="20" xfId="0" applyBorder="1" applyAlignment="1">
      <alignment horizontal="center" vertical="center"/>
    </xf>
    <xf numFmtId="0" fontId="2" fillId="0" borderId="5" xfId="0" applyFont="1" applyBorder="1" applyAlignment="1">
      <alignment horizontal="center" vertical="center"/>
    </xf>
    <xf numFmtId="0" fontId="2" fillId="0" borderId="7" xfId="0" applyFont="1" applyBorder="1" applyAlignment="1">
      <alignment horizontal="center" vertical="center"/>
    </xf>
    <xf numFmtId="0" fontId="2" fillId="0" borderId="2" xfId="0" applyFont="1" applyBorder="1" applyAlignment="1">
      <alignment horizontal="center"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0" borderId="0"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8" fillId="0" borderId="0" xfId="0" applyFont="1">
      <alignment vertical="center"/>
    </xf>
    <xf numFmtId="14" fontId="0" fillId="0" borderId="0" xfId="0" applyNumberFormat="1">
      <alignment vertical="center"/>
    </xf>
    <xf numFmtId="0" fontId="0" fillId="6" borderId="0" xfId="0" applyFill="1">
      <alignment vertical="center"/>
    </xf>
    <xf numFmtId="0" fontId="0" fillId="7" borderId="0" xfId="0" applyFill="1">
      <alignment vertical="center"/>
    </xf>
    <xf numFmtId="0" fontId="0" fillId="4" borderId="0" xfId="0" applyFill="1">
      <alignment vertical="center"/>
    </xf>
    <xf numFmtId="0" fontId="0" fillId="8" borderId="0" xfId="0" applyFill="1">
      <alignment vertical="center"/>
    </xf>
    <xf numFmtId="0" fontId="0" fillId="9" borderId="0" xfId="0" applyFill="1">
      <alignment vertical="center"/>
    </xf>
    <xf numFmtId="0" fontId="9" fillId="9" borderId="0" xfId="0" applyFont="1" applyFill="1">
      <alignment vertical="center"/>
    </xf>
    <xf numFmtId="0" fontId="0" fillId="0" borderId="1" xfId="0" applyBorder="1">
      <alignment vertical="center"/>
    </xf>
    <xf numFmtId="0" fontId="0" fillId="0" borderId="25" xfId="0" applyBorder="1">
      <alignment vertical="center"/>
    </xf>
    <xf numFmtId="0" fontId="0" fillId="0" borderId="0" xfId="0" applyAlignment="1">
      <alignment horizontal="center" vertical="center"/>
    </xf>
    <xf numFmtId="0" fontId="0" fillId="0" borderId="0" xfId="0" applyBorder="1" applyAlignment="1">
      <alignment horizontal="left" vertical="center"/>
    </xf>
    <xf numFmtId="0" fontId="2" fillId="0" borderId="6" xfId="0" applyFont="1" applyBorder="1" applyAlignment="1">
      <alignment horizontal="center" vertical="center"/>
    </xf>
    <xf numFmtId="0" fontId="2" fillId="0" borderId="7" xfId="0" applyFont="1" applyBorder="1" applyAlignment="1">
      <alignment vertical="center"/>
    </xf>
    <xf numFmtId="0" fontId="2" fillId="0" borderId="8" xfId="0" applyFont="1" applyBorder="1" applyAlignment="1">
      <alignment vertical="center"/>
    </xf>
    <xf numFmtId="0" fontId="2" fillId="0" borderId="9" xfId="0" applyFont="1" applyBorder="1" applyAlignment="1">
      <alignment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1" xfId="0" applyFont="1" applyBorder="1" applyAlignment="1">
      <alignment horizontal="center" vertical="center"/>
    </xf>
    <xf numFmtId="0" fontId="2" fillId="0" borderId="8" xfId="0" applyFont="1" applyBorder="1" applyAlignment="1">
      <alignment horizontal="center" vertical="center"/>
    </xf>
    <xf numFmtId="0" fontId="2" fillId="0" borderId="9" xfId="0" applyFont="1" applyBorder="1" applyAlignment="1">
      <alignment horizontal="center" vertical="center"/>
    </xf>
    <xf numFmtId="49" fontId="0" fillId="0" borderId="1" xfId="0" applyNumberFormat="1"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0" xfId="0" applyAlignment="1">
      <alignment horizontal="right" vertical="center"/>
    </xf>
    <xf numFmtId="0" fontId="0" fillId="0" borderId="0" xfId="0" applyAlignment="1">
      <alignment horizontal="center" vertical="center"/>
    </xf>
    <xf numFmtId="0" fontId="0" fillId="2" borderId="0" xfId="0" applyFill="1">
      <alignment vertical="center"/>
    </xf>
    <xf numFmtId="0" fontId="0" fillId="2" borderId="2" xfId="0" applyFill="1" applyBorder="1">
      <alignment vertical="center"/>
    </xf>
    <xf numFmtId="0" fontId="0" fillId="2" borderId="3" xfId="0" applyFill="1" applyBorder="1">
      <alignment vertical="center"/>
    </xf>
    <xf numFmtId="0" fontId="0" fillId="2" borderId="5" xfId="0" applyFill="1" applyBorder="1">
      <alignment vertical="center"/>
    </xf>
    <xf numFmtId="0" fontId="0" fillId="0" borderId="0" xfId="0" applyAlignment="1">
      <alignment vertical="center" wrapText="1"/>
    </xf>
    <xf numFmtId="0" fontId="0" fillId="0" borderId="0" xfId="0" applyAlignment="1">
      <alignment vertical="center"/>
    </xf>
    <xf numFmtId="0" fontId="0" fillId="0" borderId="0" xfId="0" applyFill="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0" borderId="35" xfId="0" applyBorder="1">
      <alignment vertical="center"/>
    </xf>
    <xf numFmtId="0" fontId="0" fillId="0" borderId="30" xfId="0" applyBorder="1">
      <alignment vertical="center"/>
    </xf>
    <xf numFmtId="3" fontId="0" fillId="0" borderId="0" xfId="0" applyNumberFormat="1">
      <alignment vertical="center"/>
    </xf>
    <xf numFmtId="0" fontId="4" fillId="9" borderId="0" xfId="0" applyFont="1" applyFill="1" applyAlignment="1">
      <alignment horizontal="center" vertical="center"/>
    </xf>
    <xf numFmtId="0" fontId="4" fillId="9" borderId="0" xfId="0" applyFont="1" applyFill="1" applyAlignment="1">
      <alignment horizontal="left" vertical="center"/>
    </xf>
    <xf numFmtId="0" fontId="2" fillId="9" borderId="0" xfId="0" applyFont="1" applyFill="1" applyAlignment="1">
      <alignment horizontal="center" vertical="center"/>
    </xf>
    <xf numFmtId="0" fontId="2" fillId="9" borderId="0" xfId="0" applyFont="1" applyFill="1" applyAlignment="1">
      <alignment horizontal="left" vertical="center"/>
    </xf>
    <xf numFmtId="0" fontId="2"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1" xfId="0" applyFill="1" applyBorder="1">
      <alignment vertical="center"/>
    </xf>
    <xf numFmtId="49" fontId="0" fillId="0" borderId="1" xfId="0" applyNumberFormat="1" applyFill="1" applyBorder="1">
      <alignment vertical="center"/>
    </xf>
    <xf numFmtId="0" fontId="0" fillId="11" borderId="0" xfId="0" applyFill="1">
      <alignment vertical="center"/>
    </xf>
    <xf numFmtId="0" fontId="2" fillId="0" borderId="0" xfId="0" applyFont="1" applyAlignment="1">
      <alignment horizontal="left" vertical="center"/>
    </xf>
    <xf numFmtId="0" fontId="2" fillId="0" borderId="0" xfId="0" applyFont="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3" xfId="0" applyBorder="1" applyAlignment="1">
      <alignment horizontal="center" vertical="center"/>
    </xf>
    <xf numFmtId="0" fontId="0" fillId="0" borderId="0" xfId="0" applyBorder="1" applyAlignment="1">
      <alignment horizontal="center" vertical="center"/>
    </xf>
    <xf numFmtId="0" fontId="0" fillId="0" borderId="14" xfId="0" applyBorder="1" applyAlignment="1">
      <alignment horizontal="center" vertic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6" fillId="0" borderId="0" xfId="0" applyFont="1" applyBorder="1" applyAlignment="1">
      <alignment horizontal="center" vertical="center"/>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6" fillId="0" borderId="17" xfId="0" applyFont="1" applyBorder="1" applyAlignment="1">
      <alignment horizontal="center" vertical="center"/>
    </xf>
    <xf numFmtId="0" fontId="0" fillId="9" borderId="37" xfId="0" applyFill="1" applyBorder="1" applyAlignment="1">
      <alignment horizontal="center" vertical="center"/>
    </xf>
    <xf numFmtId="0" fontId="0" fillId="9" borderId="1" xfId="0" applyFill="1" applyBorder="1" applyAlignment="1">
      <alignment horizontal="center" vertical="center"/>
    </xf>
    <xf numFmtId="0" fontId="0" fillId="9" borderId="38" xfId="0" applyFill="1" applyBorder="1" applyAlignment="1">
      <alignment horizontal="center" vertical="center"/>
    </xf>
    <xf numFmtId="0" fontId="0" fillId="9" borderId="40" xfId="0" applyFill="1" applyBorder="1" applyAlignment="1">
      <alignment horizontal="center" vertical="center"/>
    </xf>
    <xf numFmtId="0" fontId="0" fillId="9" borderId="42" xfId="0" applyFill="1" applyBorder="1" applyAlignment="1">
      <alignment horizontal="center" vertical="center"/>
    </xf>
    <xf numFmtId="0" fontId="0" fillId="9" borderId="39" xfId="0" applyFill="1" applyBorder="1" applyAlignment="1">
      <alignment horizontal="center" vertical="center"/>
    </xf>
    <xf numFmtId="0" fontId="0" fillId="9" borderId="41" xfId="0" applyFill="1" applyBorder="1" applyAlignment="1">
      <alignment horizontal="center" vertical="center"/>
    </xf>
    <xf numFmtId="0" fontId="0" fillId="9" borderId="36" xfId="0" applyFill="1" applyBorder="1" applyAlignment="1">
      <alignment horizontal="center" vertical="center"/>
    </xf>
    <xf numFmtId="0" fontId="0" fillId="9" borderId="43" xfId="0" applyFill="1" applyBorder="1" applyAlignment="1">
      <alignment horizontal="center" vertical="center"/>
    </xf>
    <xf numFmtId="0" fontId="0" fillId="9" borderId="29" xfId="0" applyFill="1" applyBorder="1" applyAlignment="1">
      <alignment horizontal="center" vertical="center"/>
    </xf>
    <xf numFmtId="0" fontId="0" fillId="9" borderId="18" xfId="0" applyFill="1" applyBorder="1" applyAlignment="1">
      <alignment horizontal="center" vertical="center"/>
    </xf>
    <xf numFmtId="0" fontId="0" fillId="9" borderId="26" xfId="0" applyFill="1" applyBorder="1" applyAlignment="1">
      <alignment horizontal="center" vertical="center"/>
    </xf>
    <xf numFmtId="0" fontId="14" fillId="0" borderId="0" xfId="0" applyFont="1" applyBorder="1" applyAlignment="1">
      <alignment horizontal="center" vertical="center"/>
    </xf>
    <xf numFmtId="0" fontId="0" fillId="9" borderId="45" xfId="0" applyFill="1" applyBorder="1" applyAlignment="1">
      <alignment horizontal="center" vertical="center"/>
    </xf>
    <xf numFmtId="0" fontId="0" fillId="9" borderId="44" xfId="0" applyFill="1" applyBorder="1" applyAlignment="1">
      <alignment horizontal="center" vertical="center"/>
    </xf>
    <xf numFmtId="0" fontId="13" fillId="5" borderId="13" xfId="0" applyFont="1" applyFill="1" applyBorder="1" applyAlignment="1">
      <alignment horizontal="center" vertical="center"/>
    </xf>
    <xf numFmtId="0" fontId="0" fillId="5" borderId="16" xfId="0" applyFill="1" applyBorder="1" applyAlignment="1">
      <alignment horizontal="center" vertical="center"/>
    </xf>
    <xf numFmtId="0" fontId="0" fillId="5" borderId="14" xfId="0" applyFill="1" applyBorder="1" applyAlignment="1">
      <alignment horizontal="center" vertical="center"/>
    </xf>
    <xf numFmtId="0" fontId="13" fillId="5" borderId="11" xfId="0" applyFont="1" applyFill="1" applyBorder="1" applyAlignment="1">
      <alignment horizontal="center" vertical="center"/>
    </xf>
    <xf numFmtId="0" fontId="0" fillId="0" borderId="0" xfId="0" applyAlignment="1">
      <alignment horizontal="center" vertical="center"/>
    </xf>
    <xf numFmtId="0" fontId="7" fillId="0" borderId="10"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0"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0" fillId="0" borderId="0" xfId="0" applyAlignment="1">
      <alignment horizontal="left" vertical="center"/>
    </xf>
    <xf numFmtId="0" fontId="0" fillId="6" borderId="0" xfId="0" applyFill="1" applyAlignment="1">
      <alignment horizontal="left" vertical="center"/>
    </xf>
    <xf numFmtId="0" fontId="0" fillId="7" borderId="0" xfId="0" applyFill="1" applyAlignment="1">
      <alignment horizontal="left" vertical="center"/>
    </xf>
    <xf numFmtId="0" fontId="0" fillId="8" borderId="0" xfId="0" applyFill="1" applyAlignment="1">
      <alignment horizontal="left" vertical="center"/>
    </xf>
    <xf numFmtId="0" fontId="0" fillId="4" borderId="0" xfId="0" applyFill="1" applyAlignment="1">
      <alignment horizontal="left"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5" xfId="0" applyFont="1" applyBorder="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1" xfId="0" applyFont="1" applyBorder="1" applyAlignment="1">
      <alignment horizontal="center" vertical="center"/>
    </xf>
    <xf numFmtId="0" fontId="12" fillId="0" borderId="29" xfId="0" applyFont="1" applyBorder="1" applyAlignment="1">
      <alignment horizontal="center" vertical="center"/>
    </xf>
    <xf numFmtId="0" fontId="12" fillId="0" borderId="26" xfId="0" applyFont="1" applyBorder="1" applyAlignment="1">
      <alignment horizontal="center" vertical="center"/>
    </xf>
    <xf numFmtId="0" fontId="12" fillId="0" borderId="30" xfId="0" applyFont="1" applyBorder="1" applyAlignment="1">
      <alignment horizontal="center" vertical="center"/>
    </xf>
    <xf numFmtId="0" fontId="12" fillId="0" borderId="28" xfId="0" applyFont="1" applyBorder="1" applyAlignment="1">
      <alignment horizontal="center" vertical="center"/>
    </xf>
    <xf numFmtId="0" fontId="2" fillId="0" borderId="3" xfId="0" applyFont="1" applyBorder="1" applyAlignment="1">
      <alignment horizontal="center" vertical="center"/>
    </xf>
    <xf numFmtId="0" fontId="2" fillId="0" borderId="1" xfId="0" applyFont="1" applyBorder="1" applyAlignment="1">
      <alignment horizontal="center" vertical="center"/>
    </xf>
    <xf numFmtId="0" fontId="10" fillId="0" borderId="6" xfId="0" applyFont="1" applyBorder="1" applyAlignment="1">
      <alignment horizontal="center" vertical="center"/>
    </xf>
    <xf numFmtId="0" fontId="2" fillId="0" borderId="6" xfId="0" applyFont="1" applyBorder="1" applyAlignment="1">
      <alignment horizontal="center" vertical="center"/>
    </xf>
    <xf numFmtId="0" fontId="12" fillId="0" borderId="27" xfId="0" applyFont="1" applyBorder="1" applyAlignment="1">
      <alignment horizontal="center" vertical="center"/>
    </xf>
    <xf numFmtId="0" fontId="2" fillId="0" borderId="26" xfId="0" applyFont="1" applyBorder="1" applyAlignment="1">
      <alignment horizontal="center" vertical="center"/>
    </xf>
    <xf numFmtId="0" fontId="8" fillId="0" borderId="1" xfId="0" applyFont="1" applyFill="1" applyBorder="1" applyAlignment="1">
      <alignment horizontal="center" vertical="center"/>
    </xf>
    <xf numFmtId="0" fontId="8" fillId="0" borderId="8" xfId="0" applyFont="1" applyFill="1" applyBorder="1" applyAlignment="1">
      <alignment horizontal="center" vertical="center"/>
    </xf>
    <xf numFmtId="0" fontId="8" fillId="10" borderId="1" xfId="0" applyFont="1" applyFill="1" applyBorder="1" applyAlignment="1">
      <alignment horizontal="center" vertical="center"/>
    </xf>
    <xf numFmtId="0" fontId="8" fillId="10" borderId="6" xfId="0" applyFont="1" applyFill="1" applyBorder="1" applyAlignment="1">
      <alignment horizontal="center" vertical="center"/>
    </xf>
    <xf numFmtId="0" fontId="8" fillId="10" borderId="8" xfId="0" applyFont="1" applyFill="1" applyBorder="1" applyAlignment="1">
      <alignment horizontal="center" vertical="center"/>
    </xf>
    <xf numFmtId="0" fontId="8" fillId="10" borderId="9" xfId="0" applyFont="1" applyFill="1" applyBorder="1" applyAlignment="1">
      <alignment horizontal="center" vertical="center"/>
    </xf>
    <xf numFmtId="0" fontId="2" fillId="0" borderId="4" xfId="0" applyFont="1" applyBorder="1" applyAlignment="1">
      <alignment horizontal="center" vertical="center"/>
    </xf>
    <xf numFmtId="49" fontId="12" fillId="0" borderId="18" xfId="0" applyNumberFormat="1" applyFont="1" applyBorder="1" applyAlignment="1">
      <alignment horizontal="center" vertical="center"/>
    </xf>
    <xf numFmtId="49" fontId="12" fillId="0" borderId="19" xfId="0" applyNumberFormat="1" applyFont="1" applyBorder="1" applyAlignment="1">
      <alignment horizontal="center" vertical="center"/>
    </xf>
    <xf numFmtId="49" fontId="12" fillId="0" borderId="1" xfId="0" applyNumberFormat="1" applyFont="1" applyBorder="1" applyAlignment="1">
      <alignment horizontal="center" vertical="center"/>
    </xf>
    <xf numFmtId="49" fontId="12" fillId="0" borderId="6" xfId="0" applyNumberFormat="1" applyFont="1" applyBorder="1" applyAlignment="1">
      <alignment horizontal="center" vertical="center"/>
    </xf>
    <xf numFmtId="49" fontId="12" fillId="0" borderId="8" xfId="0" applyNumberFormat="1" applyFont="1" applyBorder="1" applyAlignment="1">
      <alignment horizontal="center" vertical="center"/>
    </xf>
    <xf numFmtId="0" fontId="2" fillId="0" borderId="2" xfId="0" applyFont="1" applyBorder="1" applyAlignment="1">
      <alignment horizontal="center" vertical="center"/>
    </xf>
    <xf numFmtId="0" fontId="2" fillId="0" borderId="5" xfId="0" applyFont="1" applyBorder="1" applyAlignment="1">
      <alignment horizontal="center" vertical="center"/>
    </xf>
    <xf numFmtId="0" fontId="12" fillId="0" borderId="6" xfId="0" applyFont="1" applyBorder="1" applyAlignment="1">
      <alignment horizontal="center" vertical="center"/>
    </xf>
    <xf numFmtId="49" fontId="12" fillId="0" borderId="9" xfId="0" applyNumberFormat="1" applyFont="1" applyBorder="1" applyAlignment="1">
      <alignment horizontal="center" vertical="center"/>
    </xf>
    <xf numFmtId="0" fontId="2" fillId="0" borderId="7" xfId="0" applyFont="1" applyBorder="1" applyAlignment="1">
      <alignment horizontal="center" vertical="center"/>
    </xf>
    <xf numFmtId="0" fontId="0" fillId="0" borderId="1" xfId="0" applyFill="1" applyBorder="1" applyAlignment="1">
      <alignment horizontal="center" vertical="center"/>
    </xf>
    <xf numFmtId="0" fontId="0" fillId="0" borderId="8" xfId="0" applyFill="1" applyBorder="1" applyAlignment="1">
      <alignment horizontal="center" vertical="center"/>
    </xf>
    <xf numFmtId="0" fontId="0" fillId="10" borderId="5" xfId="0" applyFill="1" applyBorder="1" applyAlignment="1">
      <alignment horizontal="center" vertical="center"/>
    </xf>
    <xf numFmtId="0" fontId="0" fillId="10" borderId="1" xfId="0" applyFill="1" applyBorder="1" applyAlignment="1">
      <alignment horizontal="center" vertical="center"/>
    </xf>
    <xf numFmtId="0" fontId="0" fillId="10" borderId="7" xfId="0" applyFill="1" applyBorder="1" applyAlignment="1">
      <alignment horizontal="center" vertical="center"/>
    </xf>
    <xf numFmtId="0" fontId="0" fillId="10" borderId="8" xfId="0" applyFill="1" applyBorder="1" applyAlignment="1">
      <alignment horizontal="center" vertical="center"/>
    </xf>
    <xf numFmtId="0" fontId="12" fillId="0" borderId="46" xfId="0" applyFont="1" applyBorder="1" applyAlignment="1">
      <alignment horizontal="center" vertical="center"/>
    </xf>
    <xf numFmtId="0" fontId="12" fillId="0" borderId="0" xfId="0" applyFont="1" applyBorder="1" applyAlignment="1">
      <alignment horizontal="center" vertical="center"/>
    </xf>
    <xf numFmtId="0" fontId="0" fillId="10" borderId="2" xfId="0" applyFill="1" applyBorder="1" applyAlignment="1">
      <alignment horizontal="center" vertical="center"/>
    </xf>
    <xf numFmtId="0" fontId="0" fillId="10" borderId="3" xfId="0" applyFill="1" applyBorder="1" applyAlignment="1">
      <alignment horizontal="center" vertical="center"/>
    </xf>
    <xf numFmtId="0" fontId="0" fillId="0" borderId="3" xfId="0" applyFill="1" applyBorder="1" applyAlignment="1">
      <alignment horizontal="center" vertical="center"/>
    </xf>
    <xf numFmtId="0" fontId="8" fillId="0" borderId="3" xfId="0" applyFont="1" applyFill="1" applyBorder="1" applyAlignment="1">
      <alignment horizontal="center" vertical="center"/>
    </xf>
    <xf numFmtId="0" fontId="8" fillId="10" borderId="3" xfId="0" applyFont="1" applyFill="1" applyBorder="1" applyAlignment="1">
      <alignment horizontal="center" vertical="center"/>
    </xf>
    <xf numFmtId="0" fontId="8" fillId="10" borderId="4" xfId="0" applyFont="1" applyFill="1" applyBorder="1" applyAlignment="1">
      <alignment horizontal="center" vertical="center"/>
    </xf>
    <xf numFmtId="0" fontId="0" fillId="0" borderId="0" xfId="0" applyAlignment="1">
      <alignment horizontal="center"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24</xdr:col>
      <xdr:colOff>115708</xdr:colOff>
      <xdr:row>0</xdr:row>
      <xdr:rowOff>103414</xdr:rowOff>
    </xdr:from>
    <xdr:to>
      <xdr:col>26</xdr:col>
      <xdr:colOff>422729</xdr:colOff>
      <xdr:row>1</xdr:row>
      <xdr:rowOff>159964</xdr:rowOff>
    </xdr:to>
    <xdr:sp macro="" textlink="">
      <xdr:nvSpPr>
        <xdr:cNvPr id="2" name="フローチャート: 端子 1"/>
        <xdr:cNvSpPr/>
      </xdr:nvSpPr>
      <xdr:spPr>
        <a:xfrm>
          <a:off x="13352737" y="103414"/>
          <a:ext cx="1526221" cy="230721"/>
        </a:xfrm>
        <a:prstGeom prst="flowChartTerminator">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en-US" altLang="ja-JP" sz="1600">
              <a:solidFill>
                <a:sysClr val="windowText" lastClr="000000"/>
              </a:solidFill>
            </a:rPr>
            <a:t>Start</a:t>
          </a:r>
          <a:endParaRPr kumimoji="1" lang="ja-JP" altLang="en-US" sz="1600">
            <a:solidFill>
              <a:sysClr val="windowText" lastClr="000000"/>
            </a:solidFill>
          </a:endParaRPr>
        </a:p>
      </xdr:txBody>
    </xdr:sp>
    <xdr:clientData/>
  </xdr:twoCellAnchor>
  <xdr:twoCellAnchor>
    <xdr:from>
      <xdr:col>24</xdr:col>
      <xdr:colOff>89544</xdr:colOff>
      <xdr:row>3</xdr:row>
      <xdr:rowOff>53625</xdr:rowOff>
    </xdr:from>
    <xdr:to>
      <xdr:col>26</xdr:col>
      <xdr:colOff>448892</xdr:colOff>
      <xdr:row>4</xdr:row>
      <xdr:rowOff>110572</xdr:rowOff>
    </xdr:to>
    <xdr:sp macro="" textlink="">
      <xdr:nvSpPr>
        <xdr:cNvPr id="3" name="フローチャート: 準備 2"/>
        <xdr:cNvSpPr/>
      </xdr:nvSpPr>
      <xdr:spPr>
        <a:xfrm>
          <a:off x="13326573" y="554368"/>
          <a:ext cx="1578548" cy="220233"/>
        </a:xfrm>
        <a:prstGeom prst="flowChartPreparation">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en-US" altLang="ja-JP" sz="1600">
              <a:solidFill>
                <a:sysClr val="windowText" lastClr="000000"/>
              </a:solidFill>
            </a:rPr>
            <a:t>Init</a:t>
          </a:r>
        </a:p>
      </xdr:txBody>
    </xdr:sp>
    <xdr:clientData/>
  </xdr:twoCellAnchor>
  <xdr:twoCellAnchor>
    <xdr:from>
      <xdr:col>23</xdr:col>
      <xdr:colOff>515998</xdr:colOff>
      <xdr:row>6</xdr:row>
      <xdr:rowOff>88134</xdr:rowOff>
    </xdr:from>
    <xdr:to>
      <xdr:col>27</xdr:col>
      <xdr:colOff>22439</xdr:colOff>
      <xdr:row>10</xdr:row>
      <xdr:rowOff>16339</xdr:rowOff>
    </xdr:to>
    <xdr:sp macro="" textlink="">
      <xdr:nvSpPr>
        <xdr:cNvPr id="5" name="片側の 2 つの角を切り取った四角形 4"/>
        <xdr:cNvSpPr/>
      </xdr:nvSpPr>
      <xdr:spPr>
        <a:xfrm>
          <a:off x="13143427" y="1078734"/>
          <a:ext cx="1944841" cy="592234"/>
        </a:xfrm>
        <a:prstGeom prst="snip2SameRect">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en-US" altLang="ja-JP" sz="1100" b="1">
              <a:solidFill>
                <a:sysClr val="windowText" lastClr="000000"/>
              </a:solidFill>
            </a:rPr>
            <a:t>Loop</a:t>
          </a:r>
        </a:p>
        <a:p>
          <a:pPr algn="ctr"/>
          <a:r>
            <a:rPr kumimoji="1" lang="ja-JP" altLang="en-US" sz="1100" b="1">
              <a:solidFill>
                <a:sysClr val="windowText" lastClr="000000"/>
              </a:solidFill>
            </a:rPr>
            <a:t>ピースが全て埋まるまで</a:t>
          </a:r>
        </a:p>
      </xdr:txBody>
    </xdr:sp>
    <xdr:clientData/>
  </xdr:twoCellAnchor>
  <xdr:twoCellAnchor>
    <xdr:from>
      <xdr:col>23</xdr:col>
      <xdr:colOff>560706</xdr:colOff>
      <xdr:row>13</xdr:row>
      <xdr:rowOff>103238</xdr:rowOff>
    </xdr:from>
    <xdr:to>
      <xdr:col>26</xdr:col>
      <xdr:colOff>572092</xdr:colOff>
      <xdr:row>15</xdr:row>
      <xdr:rowOff>127194</xdr:rowOff>
    </xdr:to>
    <xdr:sp macro="" textlink="">
      <xdr:nvSpPr>
        <xdr:cNvPr id="6" name="フローチャート: 定義済み処理 5"/>
        <xdr:cNvSpPr/>
      </xdr:nvSpPr>
      <xdr:spPr>
        <a:xfrm>
          <a:off x="13188135" y="2247724"/>
          <a:ext cx="1840186" cy="372299"/>
        </a:xfrm>
        <a:prstGeom prst="flowChartPredefinedProcess">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en-US" altLang="ja-JP" sz="1800">
              <a:solidFill>
                <a:sysClr val="windowText" lastClr="000000"/>
              </a:solidFill>
            </a:rPr>
            <a:t>Set</a:t>
          </a:r>
          <a:endParaRPr kumimoji="1" lang="ja-JP" altLang="en-US" sz="1800">
            <a:solidFill>
              <a:sysClr val="windowText" lastClr="000000"/>
            </a:solidFill>
          </a:endParaRPr>
        </a:p>
      </xdr:txBody>
    </xdr:sp>
    <xdr:clientData/>
  </xdr:twoCellAnchor>
  <xdr:twoCellAnchor>
    <xdr:from>
      <xdr:col>25</xdr:col>
      <xdr:colOff>269219</xdr:colOff>
      <xdr:row>1</xdr:row>
      <xdr:rowOff>159964</xdr:rowOff>
    </xdr:from>
    <xdr:to>
      <xdr:col>25</xdr:col>
      <xdr:colOff>269219</xdr:colOff>
      <xdr:row>3</xdr:row>
      <xdr:rowOff>53625</xdr:rowOff>
    </xdr:to>
    <xdr:cxnSp macro="">
      <xdr:nvCxnSpPr>
        <xdr:cNvPr id="13" name="直線コネクタ 12"/>
        <xdr:cNvCxnSpPr>
          <a:stCxn id="2" idx="2"/>
          <a:endCxn id="3" idx="0"/>
        </xdr:cNvCxnSpPr>
      </xdr:nvCxnSpPr>
      <xdr:spPr>
        <a:xfrm>
          <a:off x="14115848" y="334135"/>
          <a:ext cx="0" cy="220233"/>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269219</xdr:colOff>
      <xdr:row>4</xdr:row>
      <xdr:rowOff>110573</xdr:rowOff>
    </xdr:from>
    <xdr:to>
      <xdr:col>25</xdr:col>
      <xdr:colOff>269220</xdr:colOff>
      <xdr:row>6</xdr:row>
      <xdr:rowOff>88134</xdr:rowOff>
    </xdr:to>
    <xdr:cxnSp macro="">
      <xdr:nvCxnSpPr>
        <xdr:cNvPr id="15" name="直線コネクタ 14"/>
        <xdr:cNvCxnSpPr>
          <a:stCxn id="5" idx="3"/>
          <a:endCxn id="3" idx="2"/>
        </xdr:cNvCxnSpPr>
      </xdr:nvCxnSpPr>
      <xdr:spPr>
        <a:xfrm flipH="1" flipV="1">
          <a:off x="14115848" y="774602"/>
          <a:ext cx="1" cy="304132"/>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261599</xdr:colOff>
      <xdr:row>10</xdr:row>
      <xdr:rowOff>16339</xdr:rowOff>
    </xdr:from>
    <xdr:to>
      <xdr:col>25</xdr:col>
      <xdr:colOff>269219</xdr:colOff>
      <xdr:row>13</xdr:row>
      <xdr:rowOff>103238</xdr:rowOff>
    </xdr:to>
    <xdr:cxnSp macro="">
      <xdr:nvCxnSpPr>
        <xdr:cNvPr id="20" name="直線コネクタ 19"/>
        <xdr:cNvCxnSpPr>
          <a:stCxn id="5" idx="1"/>
          <a:endCxn id="6" idx="0"/>
        </xdr:cNvCxnSpPr>
      </xdr:nvCxnSpPr>
      <xdr:spPr>
        <a:xfrm flipH="1">
          <a:off x="14108228" y="1670968"/>
          <a:ext cx="7620" cy="576756"/>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527958</xdr:colOff>
      <xdr:row>40</xdr:row>
      <xdr:rowOff>71453</xdr:rowOff>
    </xdr:from>
    <xdr:to>
      <xdr:col>27</xdr:col>
      <xdr:colOff>34399</xdr:colOff>
      <xdr:row>42</xdr:row>
      <xdr:rowOff>96206</xdr:rowOff>
    </xdr:to>
    <xdr:sp macro="" textlink="">
      <xdr:nvSpPr>
        <xdr:cNvPr id="10" name="片側の 2 つの角を切り取った四角形 9"/>
        <xdr:cNvSpPr/>
      </xdr:nvSpPr>
      <xdr:spPr>
        <a:xfrm rot="10800000">
          <a:off x="13155387" y="6646424"/>
          <a:ext cx="1944841" cy="351325"/>
        </a:xfrm>
        <a:prstGeom prst="snip2SameRect">
          <a:avLst>
            <a:gd name="adj1" fmla="val 21145"/>
            <a:gd name="adj2" fmla="val 0"/>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endParaRPr kumimoji="1" lang="ja-JP" altLang="en-US" sz="1100" b="1">
            <a:solidFill>
              <a:sysClr val="windowText" lastClr="000000"/>
            </a:solidFill>
          </a:endParaRPr>
        </a:p>
      </xdr:txBody>
    </xdr:sp>
    <xdr:clientData/>
  </xdr:twoCellAnchor>
  <xdr:twoCellAnchor>
    <xdr:from>
      <xdr:col>24</xdr:col>
      <xdr:colOff>117846</xdr:colOff>
      <xdr:row>43</xdr:row>
      <xdr:rowOff>142659</xdr:rowOff>
    </xdr:from>
    <xdr:to>
      <xdr:col>26</xdr:col>
      <xdr:colOff>424867</xdr:colOff>
      <xdr:row>45</xdr:row>
      <xdr:rowOff>46807</xdr:rowOff>
    </xdr:to>
    <xdr:sp macro="" textlink="">
      <xdr:nvSpPr>
        <xdr:cNvPr id="11" name="フローチャート: 端子 10"/>
        <xdr:cNvSpPr/>
      </xdr:nvSpPr>
      <xdr:spPr>
        <a:xfrm>
          <a:off x="13354875" y="7207488"/>
          <a:ext cx="1526221" cy="230719"/>
        </a:xfrm>
        <a:prstGeom prst="flowChartTerminator">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en-US" altLang="ja-JP" sz="1600">
              <a:solidFill>
                <a:sysClr val="windowText" lastClr="000000"/>
              </a:solidFill>
            </a:rPr>
            <a:t>End</a:t>
          </a:r>
        </a:p>
      </xdr:txBody>
    </xdr:sp>
    <xdr:clientData/>
  </xdr:twoCellAnchor>
  <xdr:twoCellAnchor>
    <xdr:from>
      <xdr:col>25</xdr:col>
      <xdr:colOff>271357</xdr:colOff>
      <xdr:row>42</xdr:row>
      <xdr:rowOff>96206</xdr:rowOff>
    </xdr:from>
    <xdr:to>
      <xdr:col>25</xdr:col>
      <xdr:colOff>281178</xdr:colOff>
      <xdr:row>43</xdr:row>
      <xdr:rowOff>142659</xdr:rowOff>
    </xdr:to>
    <xdr:cxnSp macro="">
      <xdr:nvCxnSpPr>
        <xdr:cNvPr id="63" name="直線コネクタ 62"/>
        <xdr:cNvCxnSpPr>
          <a:stCxn id="11" idx="0"/>
          <a:endCxn id="10" idx="3"/>
        </xdr:cNvCxnSpPr>
      </xdr:nvCxnSpPr>
      <xdr:spPr>
        <a:xfrm flipV="1">
          <a:off x="14117986" y="6997749"/>
          <a:ext cx="9821" cy="209739"/>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549820</xdr:colOff>
      <xdr:row>22</xdr:row>
      <xdr:rowOff>106906</xdr:rowOff>
    </xdr:from>
    <xdr:to>
      <xdr:col>26</xdr:col>
      <xdr:colOff>561206</xdr:colOff>
      <xdr:row>24</xdr:row>
      <xdr:rowOff>152634</xdr:rowOff>
    </xdr:to>
    <xdr:sp macro="" textlink="">
      <xdr:nvSpPr>
        <xdr:cNvPr id="7" name="フローチャート: 定義済み処理 6"/>
        <xdr:cNvSpPr/>
      </xdr:nvSpPr>
      <xdr:spPr>
        <a:xfrm>
          <a:off x="13177249" y="3742735"/>
          <a:ext cx="1840186" cy="372299"/>
        </a:xfrm>
        <a:prstGeom prst="flowChartPredefinedProcess">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en-US" altLang="ja-JP" sz="1800">
              <a:solidFill>
                <a:sysClr val="windowText" lastClr="000000"/>
              </a:solidFill>
            </a:rPr>
            <a:t>Check</a:t>
          </a:r>
        </a:p>
      </xdr:txBody>
    </xdr:sp>
    <xdr:clientData/>
  </xdr:twoCellAnchor>
  <xdr:twoCellAnchor>
    <xdr:from>
      <xdr:col>25</xdr:col>
      <xdr:colOff>250713</xdr:colOff>
      <xdr:row>24</xdr:row>
      <xdr:rowOff>152634</xdr:rowOff>
    </xdr:from>
    <xdr:to>
      <xdr:col>25</xdr:col>
      <xdr:colOff>255074</xdr:colOff>
      <xdr:row>26</xdr:row>
      <xdr:rowOff>95243</xdr:rowOff>
    </xdr:to>
    <xdr:cxnSp macro="">
      <xdr:nvCxnSpPr>
        <xdr:cNvPr id="29" name="直線コネクタ 28"/>
        <xdr:cNvCxnSpPr>
          <a:stCxn id="7" idx="2"/>
          <a:endCxn id="8" idx="0"/>
        </xdr:cNvCxnSpPr>
      </xdr:nvCxnSpPr>
      <xdr:spPr>
        <a:xfrm>
          <a:off x="14097342" y="4115034"/>
          <a:ext cx="4361" cy="26918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542911</xdr:colOff>
      <xdr:row>29</xdr:row>
      <xdr:rowOff>121889</xdr:rowOff>
    </xdr:from>
    <xdr:to>
      <xdr:col>25</xdr:col>
      <xdr:colOff>430423</xdr:colOff>
      <xdr:row>30</xdr:row>
      <xdr:rowOff>147376</xdr:rowOff>
    </xdr:to>
    <xdr:sp macro="" textlink="">
      <xdr:nvSpPr>
        <xdr:cNvPr id="61" name="正方形/長方形 60"/>
        <xdr:cNvSpPr/>
      </xdr:nvSpPr>
      <xdr:spPr>
        <a:xfrm>
          <a:off x="13779940" y="4900718"/>
          <a:ext cx="497112" cy="1887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NO</a:t>
          </a:r>
          <a:endParaRPr kumimoji="1" lang="ja-JP" altLang="en-US" sz="1100">
            <a:solidFill>
              <a:sysClr val="windowText" lastClr="000000"/>
            </a:solidFill>
          </a:endParaRPr>
        </a:p>
      </xdr:txBody>
    </xdr:sp>
    <xdr:clientData/>
  </xdr:twoCellAnchor>
  <xdr:twoCellAnchor>
    <xdr:from>
      <xdr:col>26</xdr:col>
      <xdr:colOff>502358</xdr:colOff>
      <xdr:row>26</xdr:row>
      <xdr:rowOff>97861</xdr:rowOff>
    </xdr:from>
    <xdr:to>
      <xdr:col>27</xdr:col>
      <xdr:colOff>389870</xdr:colOff>
      <xdr:row>27</xdr:row>
      <xdr:rowOff>123347</xdr:rowOff>
    </xdr:to>
    <xdr:sp macro="" textlink="">
      <xdr:nvSpPr>
        <xdr:cNvPr id="62" name="正方形/長方形 61"/>
        <xdr:cNvSpPr/>
      </xdr:nvSpPr>
      <xdr:spPr>
        <a:xfrm>
          <a:off x="14958587" y="4386832"/>
          <a:ext cx="497112" cy="1887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YES</a:t>
          </a:r>
          <a:endParaRPr kumimoji="1" lang="ja-JP" altLang="en-US" sz="1100">
            <a:solidFill>
              <a:sysClr val="windowText" lastClr="000000"/>
            </a:solidFill>
          </a:endParaRPr>
        </a:p>
      </xdr:txBody>
    </xdr:sp>
    <xdr:clientData/>
  </xdr:twoCellAnchor>
  <xdr:twoCellAnchor>
    <xdr:from>
      <xdr:col>23</xdr:col>
      <xdr:colOff>558542</xdr:colOff>
      <xdr:row>26</xdr:row>
      <xdr:rowOff>95243</xdr:rowOff>
    </xdr:from>
    <xdr:to>
      <xdr:col>26</xdr:col>
      <xdr:colOff>561207</xdr:colOff>
      <xdr:row>29</xdr:row>
      <xdr:rowOff>30121</xdr:rowOff>
    </xdr:to>
    <xdr:sp macro="" textlink="">
      <xdr:nvSpPr>
        <xdr:cNvPr id="8" name="フローチャート: 判断 7"/>
        <xdr:cNvSpPr/>
      </xdr:nvSpPr>
      <xdr:spPr>
        <a:xfrm>
          <a:off x="13185971" y="4384214"/>
          <a:ext cx="1831465" cy="424736"/>
        </a:xfrm>
        <a:prstGeom prst="flowChartDecision">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ysClr val="windowText" lastClr="000000"/>
              </a:solidFill>
            </a:rPr>
            <a:t>隙間有り？</a:t>
          </a:r>
        </a:p>
      </xdr:txBody>
    </xdr:sp>
    <xdr:clientData/>
  </xdr:twoCellAnchor>
  <xdr:twoCellAnchor>
    <xdr:from>
      <xdr:col>20</xdr:col>
      <xdr:colOff>223747</xdr:colOff>
      <xdr:row>19</xdr:row>
      <xdr:rowOff>56610</xdr:rowOff>
    </xdr:from>
    <xdr:to>
      <xdr:col>23</xdr:col>
      <xdr:colOff>605247</xdr:colOff>
      <xdr:row>21</xdr:row>
      <xdr:rowOff>102337</xdr:rowOff>
    </xdr:to>
    <xdr:sp macro="" textlink="">
      <xdr:nvSpPr>
        <xdr:cNvPr id="9" name="フローチャート: 定義済み処理 8"/>
        <xdr:cNvSpPr/>
      </xdr:nvSpPr>
      <xdr:spPr>
        <a:xfrm>
          <a:off x="11392490" y="3202581"/>
          <a:ext cx="1840186" cy="372299"/>
        </a:xfrm>
        <a:prstGeom prst="flowChartPredefinedProcess">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en-US" altLang="ja-JP" sz="1800">
              <a:solidFill>
                <a:sysClr val="windowText" lastClr="000000"/>
              </a:solidFill>
            </a:rPr>
            <a:t>Remove</a:t>
          </a:r>
        </a:p>
      </xdr:txBody>
    </xdr:sp>
    <xdr:clientData/>
  </xdr:twoCellAnchor>
  <xdr:twoCellAnchor>
    <xdr:from>
      <xdr:col>25</xdr:col>
      <xdr:colOff>255075</xdr:colOff>
      <xdr:row>29</xdr:row>
      <xdr:rowOff>30121</xdr:rowOff>
    </xdr:from>
    <xdr:to>
      <xdr:col>25</xdr:col>
      <xdr:colOff>268055</xdr:colOff>
      <xdr:row>34</xdr:row>
      <xdr:rowOff>156685</xdr:rowOff>
    </xdr:to>
    <xdr:cxnSp macro="">
      <xdr:nvCxnSpPr>
        <xdr:cNvPr id="34" name="直線コネクタ 33"/>
        <xdr:cNvCxnSpPr>
          <a:stCxn id="8" idx="2"/>
          <a:endCxn id="108" idx="0"/>
        </xdr:cNvCxnSpPr>
      </xdr:nvCxnSpPr>
      <xdr:spPr>
        <a:xfrm>
          <a:off x="14101704" y="4808950"/>
          <a:ext cx="12980" cy="942992"/>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283028</xdr:colOff>
      <xdr:row>27</xdr:row>
      <xdr:rowOff>141514</xdr:rowOff>
    </xdr:from>
    <xdr:to>
      <xdr:col>23</xdr:col>
      <xdr:colOff>558542</xdr:colOff>
      <xdr:row>27</xdr:row>
      <xdr:rowOff>144325</xdr:rowOff>
    </xdr:to>
    <xdr:cxnSp macro="">
      <xdr:nvCxnSpPr>
        <xdr:cNvPr id="49" name="直線コネクタ 48"/>
        <xdr:cNvCxnSpPr>
          <a:endCxn id="8" idx="1"/>
        </xdr:cNvCxnSpPr>
      </xdr:nvCxnSpPr>
      <xdr:spPr>
        <a:xfrm>
          <a:off x="12300857" y="4593771"/>
          <a:ext cx="885114" cy="2811"/>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327411</xdr:colOff>
      <xdr:row>14</xdr:row>
      <xdr:rowOff>108858</xdr:rowOff>
    </xdr:from>
    <xdr:to>
      <xdr:col>22</xdr:col>
      <xdr:colOff>337457</xdr:colOff>
      <xdr:row>19</xdr:row>
      <xdr:rowOff>56610</xdr:rowOff>
    </xdr:to>
    <xdr:cxnSp macro="">
      <xdr:nvCxnSpPr>
        <xdr:cNvPr id="52" name="直線コネクタ 51"/>
        <xdr:cNvCxnSpPr/>
      </xdr:nvCxnSpPr>
      <xdr:spPr>
        <a:xfrm flipV="1">
          <a:off x="12345240" y="2416629"/>
          <a:ext cx="10046" cy="785952"/>
        </a:xfrm>
        <a:prstGeom prst="line">
          <a:avLst/>
        </a:prstGeom>
        <a:ln w="1905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326571</xdr:colOff>
      <xdr:row>14</xdr:row>
      <xdr:rowOff>119743</xdr:rowOff>
    </xdr:from>
    <xdr:to>
      <xdr:col>23</xdr:col>
      <xdr:colOff>560706</xdr:colOff>
      <xdr:row>14</xdr:row>
      <xdr:rowOff>126103</xdr:rowOff>
    </xdr:to>
    <xdr:cxnSp macro="">
      <xdr:nvCxnSpPr>
        <xdr:cNvPr id="53" name="直線コネクタ 52"/>
        <xdr:cNvCxnSpPr>
          <a:stCxn id="6" idx="1"/>
        </xdr:cNvCxnSpPr>
      </xdr:nvCxnSpPr>
      <xdr:spPr>
        <a:xfrm flipH="1" flipV="1">
          <a:off x="12344400" y="2427514"/>
          <a:ext cx="843735" cy="6360"/>
        </a:xfrm>
        <a:prstGeom prst="line">
          <a:avLst/>
        </a:prstGeom>
        <a:ln w="19050">
          <a:solidFill>
            <a:schemeClr val="tx1"/>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283028</xdr:colOff>
      <xdr:row>21</xdr:row>
      <xdr:rowOff>102337</xdr:rowOff>
    </xdr:from>
    <xdr:to>
      <xdr:col>22</xdr:col>
      <xdr:colOff>294754</xdr:colOff>
      <xdr:row>27</xdr:row>
      <xdr:rowOff>130629</xdr:rowOff>
    </xdr:to>
    <xdr:cxnSp macro="">
      <xdr:nvCxnSpPr>
        <xdr:cNvPr id="54" name="直線コネクタ 53"/>
        <xdr:cNvCxnSpPr>
          <a:endCxn id="9" idx="2"/>
        </xdr:cNvCxnSpPr>
      </xdr:nvCxnSpPr>
      <xdr:spPr>
        <a:xfrm flipV="1">
          <a:off x="12300857" y="3574880"/>
          <a:ext cx="11726" cy="1008006"/>
        </a:xfrm>
        <a:prstGeom prst="line">
          <a:avLst/>
        </a:prstGeom>
        <a:ln w="19050">
          <a:solidFill>
            <a:schemeClr val="tx1"/>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567162</xdr:colOff>
      <xdr:row>34</xdr:row>
      <xdr:rowOff>156685</xdr:rowOff>
    </xdr:from>
    <xdr:to>
      <xdr:col>26</xdr:col>
      <xdr:colOff>578548</xdr:colOff>
      <xdr:row>37</xdr:row>
      <xdr:rowOff>39128</xdr:rowOff>
    </xdr:to>
    <xdr:sp macro="" textlink="">
      <xdr:nvSpPr>
        <xdr:cNvPr id="108" name="フローチャート: 定義済み処理 107"/>
        <xdr:cNvSpPr/>
      </xdr:nvSpPr>
      <xdr:spPr>
        <a:xfrm>
          <a:off x="13194591" y="5751942"/>
          <a:ext cx="1840186" cy="372300"/>
        </a:xfrm>
        <a:prstGeom prst="flowChartPredefinedProcess">
          <a:avLst/>
        </a:prstGeom>
        <a:solidFill>
          <a:schemeClr val="bg1"/>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en-US" altLang="ja-JP" sz="1800">
              <a:solidFill>
                <a:sysClr val="windowText" lastClr="000000"/>
              </a:solidFill>
            </a:rPr>
            <a:t>Display</a:t>
          </a:r>
        </a:p>
      </xdr:txBody>
    </xdr:sp>
    <xdr:clientData/>
  </xdr:twoCellAnchor>
  <xdr:twoCellAnchor>
    <xdr:from>
      <xdr:col>25</xdr:col>
      <xdr:colOff>268055</xdr:colOff>
      <xdr:row>37</xdr:row>
      <xdr:rowOff>39128</xdr:rowOff>
    </xdr:from>
    <xdr:to>
      <xdr:col>25</xdr:col>
      <xdr:colOff>281178</xdr:colOff>
      <xdr:row>40</xdr:row>
      <xdr:rowOff>71453</xdr:rowOff>
    </xdr:to>
    <xdr:cxnSp macro="">
      <xdr:nvCxnSpPr>
        <xdr:cNvPr id="112" name="直線コネクタ 111"/>
        <xdr:cNvCxnSpPr>
          <a:stCxn id="108" idx="2"/>
          <a:endCxn id="10" idx="1"/>
        </xdr:cNvCxnSpPr>
      </xdr:nvCxnSpPr>
      <xdr:spPr>
        <a:xfrm>
          <a:off x="14114684" y="6124242"/>
          <a:ext cx="13123" cy="522182"/>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566058</xdr:colOff>
      <xdr:row>17</xdr:row>
      <xdr:rowOff>10885</xdr:rowOff>
    </xdr:from>
    <xdr:to>
      <xdr:col>26</xdr:col>
      <xdr:colOff>568723</xdr:colOff>
      <xdr:row>19</xdr:row>
      <xdr:rowOff>109050</xdr:rowOff>
    </xdr:to>
    <xdr:sp macro="" textlink="">
      <xdr:nvSpPr>
        <xdr:cNvPr id="117" name="フローチャート: 判断 116"/>
        <xdr:cNvSpPr/>
      </xdr:nvSpPr>
      <xdr:spPr>
        <a:xfrm>
          <a:off x="13193487" y="2830285"/>
          <a:ext cx="1831465" cy="424736"/>
        </a:xfrm>
        <a:prstGeom prst="flowChartDecision">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ysClr val="windowText" lastClr="000000"/>
              </a:solidFill>
            </a:rPr>
            <a:t>セット完了？</a:t>
          </a:r>
        </a:p>
      </xdr:txBody>
    </xdr:sp>
    <xdr:clientData/>
  </xdr:twoCellAnchor>
  <xdr:twoCellAnchor>
    <xdr:from>
      <xdr:col>25</xdr:col>
      <xdr:colOff>261599</xdr:colOff>
      <xdr:row>15</xdr:row>
      <xdr:rowOff>127194</xdr:rowOff>
    </xdr:from>
    <xdr:to>
      <xdr:col>25</xdr:col>
      <xdr:colOff>262591</xdr:colOff>
      <xdr:row>17</xdr:row>
      <xdr:rowOff>10885</xdr:rowOff>
    </xdr:to>
    <xdr:cxnSp macro="">
      <xdr:nvCxnSpPr>
        <xdr:cNvPr id="119" name="直線コネクタ 118"/>
        <xdr:cNvCxnSpPr>
          <a:stCxn id="6" idx="2"/>
          <a:endCxn id="117" idx="0"/>
        </xdr:cNvCxnSpPr>
      </xdr:nvCxnSpPr>
      <xdr:spPr>
        <a:xfrm>
          <a:off x="14108228" y="2620023"/>
          <a:ext cx="992" cy="210262"/>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261258</xdr:colOff>
      <xdr:row>16</xdr:row>
      <xdr:rowOff>152400</xdr:rowOff>
    </xdr:from>
    <xdr:to>
      <xdr:col>27</xdr:col>
      <xdr:colOff>497113</xdr:colOff>
      <xdr:row>33</xdr:row>
      <xdr:rowOff>130629</xdr:rowOff>
    </xdr:to>
    <xdr:grpSp>
      <xdr:nvGrpSpPr>
        <xdr:cNvPr id="133" name="グループ化 132"/>
        <xdr:cNvGrpSpPr/>
      </xdr:nvGrpSpPr>
      <xdr:grpSpPr>
        <a:xfrm>
          <a:off x="14198238" y="2865120"/>
          <a:ext cx="1455055" cy="2843349"/>
          <a:chOff x="11919857" y="2819400"/>
          <a:chExt cx="1455055" cy="2754086"/>
        </a:xfrm>
      </xdr:grpSpPr>
      <xdr:cxnSp macro="">
        <xdr:nvCxnSpPr>
          <xdr:cNvPr id="122" name="直線コネクタ 121"/>
          <xdr:cNvCxnSpPr>
            <a:stCxn id="117" idx="3"/>
          </xdr:cNvCxnSpPr>
        </xdr:nvCxnSpPr>
        <xdr:spPr>
          <a:xfrm>
            <a:off x="12836922" y="3053539"/>
            <a:ext cx="454534" cy="16233"/>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25" name="直線コネクタ 124"/>
          <xdr:cNvCxnSpPr/>
        </xdr:nvCxnSpPr>
        <xdr:spPr>
          <a:xfrm>
            <a:off x="13291457" y="3048001"/>
            <a:ext cx="10884" cy="2525485"/>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29" name="直線コネクタ 128"/>
          <xdr:cNvCxnSpPr/>
        </xdr:nvCxnSpPr>
        <xdr:spPr>
          <a:xfrm flipV="1">
            <a:off x="11919857" y="5562600"/>
            <a:ext cx="1393370" cy="10885"/>
          </a:xfrm>
          <a:prstGeom prst="line">
            <a:avLst/>
          </a:prstGeom>
          <a:ln w="19050">
            <a:solidFill>
              <a:schemeClr val="tx1"/>
            </a:solidFill>
            <a:headEnd type="arrow" w="med" len="med"/>
            <a:tailEnd type="none" w="med" len="med"/>
          </a:ln>
        </xdr:spPr>
        <xdr:style>
          <a:lnRef idx="1">
            <a:schemeClr val="accent1"/>
          </a:lnRef>
          <a:fillRef idx="0">
            <a:schemeClr val="accent1"/>
          </a:fillRef>
          <a:effectRef idx="0">
            <a:schemeClr val="accent1"/>
          </a:effectRef>
          <a:fontRef idx="minor">
            <a:schemeClr val="tx1"/>
          </a:fontRef>
        </xdr:style>
      </xdr:cxnSp>
      <xdr:sp macro="" textlink="">
        <xdr:nvSpPr>
          <xdr:cNvPr id="132" name="正方形/長方形 131"/>
          <xdr:cNvSpPr/>
        </xdr:nvSpPr>
        <xdr:spPr>
          <a:xfrm>
            <a:off x="12877800" y="2819400"/>
            <a:ext cx="497112" cy="1887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NO</a:t>
            </a:r>
          </a:p>
        </xdr:txBody>
      </xdr:sp>
    </xdr:grpSp>
    <xdr:clientData/>
  </xdr:twoCellAnchor>
  <xdr:twoCellAnchor>
    <xdr:from>
      <xdr:col>24</xdr:col>
      <xdr:colOff>489858</xdr:colOff>
      <xdr:row>19</xdr:row>
      <xdr:rowOff>109050</xdr:rowOff>
    </xdr:from>
    <xdr:to>
      <xdr:col>25</xdr:col>
      <xdr:colOff>377370</xdr:colOff>
      <xdr:row>22</xdr:row>
      <xdr:rowOff>106906</xdr:rowOff>
    </xdr:to>
    <xdr:grpSp>
      <xdr:nvGrpSpPr>
        <xdr:cNvPr id="135" name="グループ化 134"/>
        <xdr:cNvGrpSpPr/>
      </xdr:nvGrpSpPr>
      <xdr:grpSpPr>
        <a:xfrm>
          <a:off x="13817238" y="3324690"/>
          <a:ext cx="497112" cy="500776"/>
          <a:chOff x="11538857" y="3265907"/>
          <a:chExt cx="497112" cy="487714"/>
        </a:xfrm>
      </xdr:grpSpPr>
      <xdr:cxnSp macro="">
        <xdr:nvCxnSpPr>
          <xdr:cNvPr id="25" name="直線コネクタ 24"/>
          <xdr:cNvCxnSpPr>
            <a:stCxn id="117" idx="2"/>
            <a:endCxn id="7" idx="0"/>
          </xdr:cNvCxnSpPr>
        </xdr:nvCxnSpPr>
        <xdr:spPr>
          <a:xfrm flipH="1">
            <a:off x="11909312" y="3265907"/>
            <a:ext cx="11878" cy="487714"/>
          </a:xfrm>
          <a:prstGeom prst="line">
            <a:avLst/>
          </a:prstGeom>
          <a:ln w="19050">
            <a:solidFill>
              <a:schemeClr val="tx1"/>
            </a:solidFill>
            <a:headEnd type="none" w="med" len="med"/>
            <a:tailEnd type="arrow" w="med" len="med"/>
          </a:ln>
        </xdr:spPr>
        <xdr:style>
          <a:lnRef idx="1">
            <a:schemeClr val="accent1"/>
          </a:lnRef>
          <a:fillRef idx="0">
            <a:schemeClr val="accent1"/>
          </a:fillRef>
          <a:effectRef idx="0">
            <a:schemeClr val="accent1"/>
          </a:effectRef>
          <a:fontRef idx="minor">
            <a:schemeClr val="tx1"/>
          </a:fontRef>
        </xdr:style>
      </xdr:cxnSp>
      <xdr:sp macro="" textlink="">
        <xdr:nvSpPr>
          <xdr:cNvPr id="134" name="正方形/長方形 133"/>
          <xdr:cNvSpPr/>
        </xdr:nvSpPr>
        <xdr:spPr>
          <a:xfrm>
            <a:off x="11538857" y="3298372"/>
            <a:ext cx="497112" cy="1887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YES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108893</xdr:colOff>
      <xdr:row>17</xdr:row>
      <xdr:rowOff>143408</xdr:rowOff>
    </xdr:from>
    <xdr:to>
      <xdr:col>27</xdr:col>
      <xdr:colOff>29908</xdr:colOff>
      <xdr:row>22</xdr:row>
      <xdr:rowOff>49185</xdr:rowOff>
    </xdr:to>
    <xdr:pic>
      <xdr:nvPicPr>
        <xdr:cNvPr id="5" name="図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56140" y="3146584"/>
          <a:ext cx="772662" cy="775353"/>
        </a:xfrm>
        <a:prstGeom prst="rect">
          <a:avLst/>
        </a:prstGeom>
      </xdr:spPr>
    </xdr:pic>
    <xdr:clientData/>
  </xdr:twoCellAnchor>
  <xdr:twoCellAnchor>
    <xdr:from>
      <xdr:col>9</xdr:col>
      <xdr:colOff>81578</xdr:colOff>
      <xdr:row>18</xdr:row>
      <xdr:rowOff>106232</xdr:rowOff>
    </xdr:from>
    <xdr:to>
      <xdr:col>20</xdr:col>
      <xdr:colOff>125698</xdr:colOff>
      <xdr:row>21</xdr:row>
      <xdr:rowOff>107576</xdr:rowOff>
    </xdr:to>
    <xdr:grpSp>
      <xdr:nvGrpSpPr>
        <xdr:cNvPr id="14" name="グループ化 13"/>
        <xdr:cNvGrpSpPr/>
      </xdr:nvGrpSpPr>
      <xdr:grpSpPr>
        <a:xfrm>
          <a:off x="1614543" y="3306632"/>
          <a:ext cx="1917743" cy="512332"/>
          <a:chOff x="1408355" y="3351456"/>
          <a:chExt cx="1917744" cy="512332"/>
        </a:xfrm>
      </xdr:grpSpPr>
      <xdr:pic>
        <xdr:nvPicPr>
          <xdr:cNvPr id="2" name="図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40454" y="3381936"/>
            <a:ext cx="218739" cy="432098"/>
          </a:xfrm>
          <a:prstGeom prst="rect">
            <a:avLst/>
          </a:prstGeom>
        </xdr:spPr>
      </xdr:pic>
      <xdr:pic>
        <xdr:nvPicPr>
          <xdr:cNvPr id="3" name="図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49043" y="3379536"/>
            <a:ext cx="414329" cy="411638"/>
          </a:xfrm>
          <a:prstGeom prst="rect">
            <a:avLst/>
          </a:prstGeom>
        </xdr:spPr>
      </xdr:pic>
      <xdr:pic>
        <xdr:nvPicPr>
          <xdr:cNvPr id="4" name="図 3"/>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058440" y="3407616"/>
            <a:ext cx="267659" cy="398798"/>
          </a:xfrm>
          <a:prstGeom prst="rect">
            <a:avLst/>
          </a:prstGeom>
        </xdr:spPr>
      </xdr:pic>
      <xdr:pic>
        <xdr:nvPicPr>
          <xdr:cNvPr id="6" name="図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408355" y="3351456"/>
            <a:ext cx="100584" cy="512332"/>
          </a:xfrm>
          <a:prstGeom prst="rect">
            <a:avLst/>
          </a:prstGeom>
        </xdr:spPr>
      </xdr:pic>
    </xdr:grpSp>
    <xdr:clientData/>
  </xdr:twoCellAnchor>
  <xdr:twoCellAnchor>
    <xdr:from>
      <xdr:col>28</xdr:col>
      <xdr:colOff>165175</xdr:colOff>
      <xdr:row>17</xdr:row>
      <xdr:rowOff>159349</xdr:rowOff>
    </xdr:from>
    <xdr:to>
      <xdr:col>30</xdr:col>
      <xdr:colOff>29137</xdr:colOff>
      <xdr:row>21</xdr:row>
      <xdr:rowOff>125059</xdr:rowOff>
    </xdr:to>
    <xdr:sp macro="" textlink="">
      <xdr:nvSpPr>
        <xdr:cNvPr id="7" name="二等辺三角形 6"/>
        <xdr:cNvSpPr/>
      </xdr:nvSpPr>
      <xdr:spPr>
        <a:xfrm rot="5400000">
          <a:off x="4708712" y="3388212"/>
          <a:ext cx="655993" cy="204620"/>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11</xdr:col>
      <xdr:colOff>34073</xdr:colOff>
      <xdr:row>13</xdr:row>
      <xdr:rowOff>86061</xdr:rowOff>
    </xdr:from>
    <xdr:to>
      <xdr:col>17</xdr:col>
      <xdr:colOff>34074</xdr:colOff>
      <xdr:row>19</xdr:row>
      <xdr:rowOff>45271</xdr:rowOff>
    </xdr:to>
    <xdr:pic>
      <xdr:nvPicPr>
        <xdr:cNvPr id="8" name="図 7"/>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rot="16200000">
          <a:off x="1905681" y="2374077"/>
          <a:ext cx="1026010" cy="1021977"/>
        </a:xfrm>
        <a:prstGeom prst="rect">
          <a:avLst/>
        </a:prstGeom>
      </xdr:spPr>
    </xdr:pic>
    <xdr:clientData/>
  </xdr:twoCellAnchor>
  <xdr:twoCellAnchor>
    <xdr:from>
      <xdr:col>13</xdr:col>
      <xdr:colOff>160496</xdr:colOff>
      <xdr:row>4</xdr:row>
      <xdr:rowOff>50651</xdr:rowOff>
    </xdr:from>
    <xdr:to>
      <xdr:col>19</xdr:col>
      <xdr:colOff>147917</xdr:colOff>
      <xdr:row>6</xdr:row>
      <xdr:rowOff>50651</xdr:rowOff>
    </xdr:to>
    <xdr:grpSp>
      <xdr:nvGrpSpPr>
        <xdr:cNvPr id="12" name="グループ化 11"/>
        <xdr:cNvGrpSpPr/>
      </xdr:nvGrpSpPr>
      <xdr:grpSpPr>
        <a:xfrm>
          <a:off x="2374778" y="758863"/>
          <a:ext cx="1009398" cy="358588"/>
          <a:chOff x="1765178" y="1607820"/>
          <a:chExt cx="993262" cy="350520"/>
        </a:xfrm>
      </xdr:grpSpPr>
      <xdr:sp macro="" textlink="">
        <xdr:nvSpPr>
          <xdr:cNvPr id="9" name="上下矢印 8"/>
          <xdr:cNvSpPr/>
        </xdr:nvSpPr>
        <xdr:spPr>
          <a:xfrm>
            <a:off x="2171700" y="1607820"/>
            <a:ext cx="190500" cy="350520"/>
          </a:xfrm>
          <a:prstGeom prst="up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左右矢印 9"/>
          <xdr:cNvSpPr/>
        </xdr:nvSpPr>
        <xdr:spPr>
          <a:xfrm>
            <a:off x="2453640" y="1676400"/>
            <a:ext cx="304800" cy="182880"/>
          </a:xfrm>
          <a:prstGeom prst="leftRightArrow">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環状矢印 10"/>
          <xdr:cNvSpPr/>
        </xdr:nvSpPr>
        <xdr:spPr>
          <a:xfrm rot="4057008">
            <a:off x="1800820" y="1649293"/>
            <a:ext cx="213825" cy="285109"/>
          </a:xfrm>
          <a:prstGeom prst="circularArrow">
            <a:avLst>
              <a:gd name="adj1" fmla="val 0"/>
              <a:gd name="adj2" fmla="val 900697"/>
              <a:gd name="adj3" fmla="val 19896597"/>
              <a:gd name="adj4" fmla="val 10800000"/>
              <a:gd name="adj5" fmla="val 5268"/>
            </a:avLst>
          </a:prstGeom>
          <a:ln w="698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6</xdr:row>
      <xdr:rowOff>0</xdr:rowOff>
    </xdr:from>
    <xdr:to>
      <xdr:col>7</xdr:col>
      <xdr:colOff>0</xdr:colOff>
      <xdr:row>9</xdr:row>
      <xdr:rowOff>30480</xdr:rowOff>
    </xdr:to>
    <xdr:cxnSp macro="">
      <xdr:nvCxnSpPr>
        <xdr:cNvPr id="3" name="直線矢印コネクタ 2"/>
        <xdr:cNvCxnSpPr/>
      </xdr:nvCxnSpPr>
      <xdr:spPr>
        <a:xfrm>
          <a:off x="1828800" y="1021080"/>
          <a:ext cx="0" cy="54864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22860</xdr:colOff>
      <xdr:row>12</xdr:row>
      <xdr:rowOff>0</xdr:rowOff>
    </xdr:from>
    <xdr:to>
      <xdr:col>7</xdr:col>
      <xdr:colOff>22860</xdr:colOff>
      <xdr:row>15</xdr:row>
      <xdr:rowOff>38100</xdr:rowOff>
    </xdr:to>
    <xdr:cxnSp macro="">
      <xdr:nvCxnSpPr>
        <xdr:cNvPr id="4" name="直線矢印コネクタ 3"/>
        <xdr:cNvCxnSpPr/>
      </xdr:nvCxnSpPr>
      <xdr:spPr>
        <a:xfrm>
          <a:off x="1851660" y="2057400"/>
          <a:ext cx="0" cy="54864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586740</xdr:colOff>
      <xdr:row>5</xdr:row>
      <xdr:rowOff>144780</xdr:rowOff>
    </xdr:from>
    <xdr:to>
      <xdr:col>7</xdr:col>
      <xdr:colOff>586740</xdr:colOff>
      <xdr:row>9</xdr:row>
      <xdr:rowOff>0</xdr:rowOff>
    </xdr:to>
    <xdr:cxnSp macro="">
      <xdr:nvCxnSpPr>
        <xdr:cNvPr id="5" name="直線矢印コネクタ 4"/>
        <xdr:cNvCxnSpPr/>
      </xdr:nvCxnSpPr>
      <xdr:spPr>
        <a:xfrm flipV="1">
          <a:off x="2415540" y="990600"/>
          <a:ext cx="0" cy="54864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601980</xdr:colOff>
      <xdr:row>11</xdr:row>
      <xdr:rowOff>160020</xdr:rowOff>
    </xdr:from>
    <xdr:to>
      <xdr:col>7</xdr:col>
      <xdr:colOff>601980</xdr:colOff>
      <xdr:row>15</xdr:row>
      <xdr:rowOff>22860</xdr:rowOff>
    </xdr:to>
    <xdr:cxnSp macro="">
      <xdr:nvCxnSpPr>
        <xdr:cNvPr id="9" name="直線矢印コネクタ 8"/>
        <xdr:cNvCxnSpPr/>
      </xdr:nvCxnSpPr>
      <xdr:spPr>
        <a:xfrm flipV="1">
          <a:off x="2430780" y="2042160"/>
          <a:ext cx="0" cy="54864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16</xdr:row>
      <xdr:rowOff>76200</xdr:rowOff>
    </xdr:from>
    <xdr:to>
      <xdr:col>10</xdr:col>
      <xdr:colOff>0</xdr:colOff>
      <xdr:row>16</xdr:row>
      <xdr:rowOff>83820</xdr:rowOff>
    </xdr:to>
    <xdr:cxnSp macro="">
      <xdr:nvCxnSpPr>
        <xdr:cNvPr id="10" name="直線矢印コネクタ 9"/>
        <xdr:cNvCxnSpPr/>
      </xdr:nvCxnSpPr>
      <xdr:spPr>
        <a:xfrm>
          <a:off x="3048000" y="2811780"/>
          <a:ext cx="609600" cy="76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17</xdr:row>
      <xdr:rowOff>160020</xdr:rowOff>
    </xdr:from>
    <xdr:to>
      <xdr:col>11</xdr:col>
      <xdr:colOff>0</xdr:colOff>
      <xdr:row>21</xdr:row>
      <xdr:rowOff>22860</xdr:rowOff>
    </xdr:to>
    <xdr:cxnSp macro="">
      <xdr:nvCxnSpPr>
        <xdr:cNvPr id="13" name="直線矢印コネクタ 12"/>
        <xdr:cNvCxnSpPr/>
      </xdr:nvCxnSpPr>
      <xdr:spPr>
        <a:xfrm>
          <a:off x="4267200" y="3063240"/>
          <a:ext cx="0" cy="54864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17</xdr:row>
      <xdr:rowOff>144780</xdr:rowOff>
    </xdr:from>
    <xdr:to>
      <xdr:col>11</xdr:col>
      <xdr:colOff>579120</xdr:colOff>
      <xdr:row>21</xdr:row>
      <xdr:rowOff>7620</xdr:rowOff>
    </xdr:to>
    <xdr:cxnSp macro="">
      <xdr:nvCxnSpPr>
        <xdr:cNvPr id="14" name="直線矢印コネクタ 13"/>
        <xdr:cNvCxnSpPr/>
      </xdr:nvCxnSpPr>
      <xdr:spPr>
        <a:xfrm flipV="1">
          <a:off x="4846320" y="3048000"/>
          <a:ext cx="0" cy="54864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7620</xdr:colOff>
      <xdr:row>18</xdr:row>
      <xdr:rowOff>0</xdr:rowOff>
    </xdr:from>
    <xdr:to>
      <xdr:col>7</xdr:col>
      <xdr:colOff>7620</xdr:colOff>
      <xdr:row>25</xdr:row>
      <xdr:rowOff>137160</xdr:rowOff>
    </xdr:to>
    <xdr:cxnSp macro="">
      <xdr:nvCxnSpPr>
        <xdr:cNvPr id="15" name="直線矢印コネクタ 14"/>
        <xdr:cNvCxnSpPr/>
      </xdr:nvCxnSpPr>
      <xdr:spPr>
        <a:xfrm flipV="1">
          <a:off x="1836420" y="3078480"/>
          <a:ext cx="0" cy="132588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601980</xdr:colOff>
      <xdr:row>25</xdr:row>
      <xdr:rowOff>152400</xdr:rowOff>
    </xdr:from>
    <xdr:to>
      <xdr:col>14</xdr:col>
      <xdr:colOff>601980</xdr:colOff>
      <xdr:row>25</xdr:row>
      <xdr:rowOff>160020</xdr:rowOff>
    </xdr:to>
    <xdr:cxnSp macro="">
      <xdr:nvCxnSpPr>
        <xdr:cNvPr id="18" name="直線矢印コネクタ 17"/>
        <xdr:cNvCxnSpPr/>
      </xdr:nvCxnSpPr>
      <xdr:spPr>
        <a:xfrm flipH="1" flipV="1">
          <a:off x="1821180" y="4419600"/>
          <a:ext cx="4876800" cy="76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594360</xdr:colOff>
      <xdr:row>17</xdr:row>
      <xdr:rowOff>167640</xdr:rowOff>
    </xdr:from>
    <xdr:to>
      <xdr:col>15</xdr:col>
      <xdr:colOff>0</xdr:colOff>
      <xdr:row>26</xdr:row>
      <xdr:rowOff>7620</xdr:rowOff>
    </xdr:to>
    <xdr:cxnSp macro="">
      <xdr:nvCxnSpPr>
        <xdr:cNvPr id="22" name="直線矢印コネクタ 21"/>
        <xdr:cNvCxnSpPr/>
      </xdr:nvCxnSpPr>
      <xdr:spPr>
        <a:xfrm flipH="1">
          <a:off x="6690360" y="3070860"/>
          <a:ext cx="15240" cy="137160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18</xdr:row>
      <xdr:rowOff>0</xdr:rowOff>
    </xdr:from>
    <xdr:to>
      <xdr:col>8</xdr:col>
      <xdr:colOff>7620</xdr:colOff>
      <xdr:row>22</xdr:row>
      <xdr:rowOff>114300</xdr:rowOff>
    </xdr:to>
    <xdr:cxnSp macro="">
      <xdr:nvCxnSpPr>
        <xdr:cNvPr id="26" name="直線矢印コネクタ 25"/>
        <xdr:cNvCxnSpPr/>
      </xdr:nvCxnSpPr>
      <xdr:spPr>
        <a:xfrm flipH="1" flipV="1">
          <a:off x="2438400" y="3078480"/>
          <a:ext cx="7620" cy="79248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601980</xdr:colOff>
      <xdr:row>22</xdr:row>
      <xdr:rowOff>114300</xdr:rowOff>
    </xdr:from>
    <xdr:to>
      <xdr:col>9</xdr:col>
      <xdr:colOff>586740</xdr:colOff>
      <xdr:row>22</xdr:row>
      <xdr:rowOff>121920</xdr:rowOff>
    </xdr:to>
    <xdr:cxnSp macro="">
      <xdr:nvCxnSpPr>
        <xdr:cNvPr id="29" name="直線矢印コネクタ 28"/>
        <xdr:cNvCxnSpPr/>
      </xdr:nvCxnSpPr>
      <xdr:spPr>
        <a:xfrm flipH="1">
          <a:off x="2430780" y="3870960"/>
          <a:ext cx="1203960" cy="76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xdr:colOff>
      <xdr:row>16</xdr:row>
      <xdr:rowOff>7620</xdr:rowOff>
    </xdr:from>
    <xdr:to>
      <xdr:col>14</xdr:col>
      <xdr:colOff>7620</xdr:colOff>
      <xdr:row>16</xdr:row>
      <xdr:rowOff>15240</xdr:rowOff>
    </xdr:to>
    <xdr:cxnSp macro="">
      <xdr:nvCxnSpPr>
        <xdr:cNvPr id="32" name="直線矢印コネクタ 31"/>
        <xdr:cNvCxnSpPr/>
      </xdr:nvCxnSpPr>
      <xdr:spPr>
        <a:xfrm>
          <a:off x="5494020" y="2743200"/>
          <a:ext cx="609600" cy="7620"/>
        </a:xfrm>
        <a:prstGeom prst="straightConnector1">
          <a:avLst/>
        </a:prstGeom>
        <a:ln w="19050">
          <a:solidFill>
            <a:srgbClr val="92D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571500</xdr:colOff>
      <xdr:row>16</xdr:row>
      <xdr:rowOff>152400</xdr:rowOff>
    </xdr:from>
    <xdr:to>
      <xdr:col>14</xdr:col>
      <xdr:colOff>0</xdr:colOff>
      <xdr:row>16</xdr:row>
      <xdr:rowOff>152400</xdr:rowOff>
    </xdr:to>
    <xdr:cxnSp macro="">
      <xdr:nvCxnSpPr>
        <xdr:cNvPr id="33" name="直線矢印コネクタ 32"/>
        <xdr:cNvCxnSpPr/>
      </xdr:nvCxnSpPr>
      <xdr:spPr>
        <a:xfrm flipH="1">
          <a:off x="5448300" y="2887980"/>
          <a:ext cx="647700" cy="0"/>
        </a:xfrm>
        <a:prstGeom prst="straightConnector1">
          <a:avLst/>
        </a:prstGeom>
        <a:ln w="19050">
          <a:solidFill>
            <a:srgbClr val="00B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1</xdr:row>
      <xdr:rowOff>0</xdr:rowOff>
    </xdr:from>
    <xdr:to>
      <xdr:col>15</xdr:col>
      <xdr:colOff>7620</xdr:colOff>
      <xdr:row>1</xdr:row>
      <xdr:rowOff>0</xdr:rowOff>
    </xdr:to>
    <xdr:cxnSp macro="">
      <xdr:nvCxnSpPr>
        <xdr:cNvPr id="35" name="直線矢印コネクタ 34"/>
        <xdr:cNvCxnSpPr/>
      </xdr:nvCxnSpPr>
      <xdr:spPr>
        <a:xfrm flipH="1">
          <a:off x="2438400" y="167640"/>
          <a:ext cx="4274820"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8</xdr:row>
      <xdr:rowOff>167640</xdr:rowOff>
    </xdr:from>
    <xdr:to>
      <xdr:col>15</xdr:col>
      <xdr:colOff>7620</xdr:colOff>
      <xdr:row>15</xdr:row>
      <xdr:rowOff>0</xdr:rowOff>
    </xdr:to>
    <xdr:cxnSp macro="">
      <xdr:nvCxnSpPr>
        <xdr:cNvPr id="38" name="直線矢印コネクタ 37"/>
        <xdr:cNvCxnSpPr/>
      </xdr:nvCxnSpPr>
      <xdr:spPr>
        <a:xfrm flipH="1" flipV="1">
          <a:off x="9144000" y="1531620"/>
          <a:ext cx="7620" cy="10363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7620</xdr:colOff>
      <xdr:row>1</xdr:row>
      <xdr:rowOff>0</xdr:rowOff>
    </xdr:from>
    <xdr:to>
      <xdr:col>8</xdr:col>
      <xdr:colOff>7620</xdr:colOff>
      <xdr:row>3</xdr:row>
      <xdr:rowOff>7620</xdr:rowOff>
    </xdr:to>
    <xdr:cxnSp macro="">
      <xdr:nvCxnSpPr>
        <xdr:cNvPr id="44" name="直線矢印コネクタ 43"/>
        <xdr:cNvCxnSpPr/>
      </xdr:nvCxnSpPr>
      <xdr:spPr>
        <a:xfrm>
          <a:off x="2446020" y="167640"/>
          <a:ext cx="0" cy="3505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129540</xdr:rowOff>
    </xdr:from>
    <xdr:to>
      <xdr:col>11</xdr:col>
      <xdr:colOff>22860</xdr:colOff>
      <xdr:row>4</xdr:row>
      <xdr:rowOff>137160</xdr:rowOff>
    </xdr:to>
    <xdr:cxnSp macro="">
      <xdr:nvCxnSpPr>
        <xdr:cNvPr id="46" name="直線矢印コネクタ 45"/>
        <xdr:cNvCxnSpPr/>
      </xdr:nvCxnSpPr>
      <xdr:spPr>
        <a:xfrm>
          <a:off x="3048000" y="807720"/>
          <a:ext cx="1242060" cy="76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579120</xdr:colOff>
      <xdr:row>4</xdr:row>
      <xdr:rowOff>152400</xdr:rowOff>
    </xdr:from>
    <xdr:to>
      <xdr:col>10</xdr:col>
      <xdr:colOff>601980</xdr:colOff>
      <xdr:row>15</xdr:row>
      <xdr:rowOff>7620</xdr:rowOff>
    </xdr:to>
    <xdr:cxnSp macro="">
      <xdr:nvCxnSpPr>
        <xdr:cNvPr id="48" name="直線矢印コネクタ 47"/>
        <xdr:cNvCxnSpPr/>
      </xdr:nvCxnSpPr>
      <xdr:spPr>
        <a:xfrm flipH="1">
          <a:off x="4236720" y="830580"/>
          <a:ext cx="22860" cy="174498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xdr:colOff>
      <xdr:row>4</xdr:row>
      <xdr:rowOff>0</xdr:rowOff>
    </xdr:from>
    <xdr:to>
      <xdr:col>6</xdr:col>
      <xdr:colOff>0</xdr:colOff>
      <xdr:row>4</xdr:row>
      <xdr:rowOff>15240</xdr:rowOff>
    </xdr:to>
    <xdr:cxnSp macro="">
      <xdr:nvCxnSpPr>
        <xdr:cNvPr id="21" name="直線矢印コネクタ 20"/>
        <xdr:cNvCxnSpPr/>
      </xdr:nvCxnSpPr>
      <xdr:spPr>
        <a:xfrm flipH="1" flipV="1">
          <a:off x="3063240" y="678180"/>
          <a:ext cx="594360" cy="15240"/>
        </a:xfrm>
        <a:prstGeom prst="straightConnector1">
          <a:avLst/>
        </a:prstGeom>
        <a:ln w="19050">
          <a:solidFill>
            <a:srgbClr val="92D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30480</xdr:colOff>
      <xdr:row>4</xdr:row>
      <xdr:rowOff>152400</xdr:rowOff>
    </xdr:from>
    <xdr:to>
      <xdr:col>6</xdr:col>
      <xdr:colOff>7620</xdr:colOff>
      <xdr:row>4</xdr:row>
      <xdr:rowOff>160020</xdr:rowOff>
    </xdr:to>
    <xdr:cxnSp macro="">
      <xdr:nvCxnSpPr>
        <xdr:cNvPr id="25" name="直線矢印コネクタ 24"/>
        <xdr:cNvCxnSpPr/>
      </xdr:nvCxnSpPr>
      <xdr:spPr>
        <a:xfrm flipV="1">
          <a:off x="3078480" y="830580"/>
          <a:ext cx="586740" cy="7620"/>
        </a:xfrm>
        <a:prstGeom prst="straightConnector1">
          <a:avLst/>
        </a:prstGeom>
        <a:ln w="19050">
          <a:solidFill>
            <a:srgbClr val="00B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9</xdr:row>
      <xdr:rowOff>15240</xdr:rowOff>
    </xdr:from>
    <xdr:to>
      <xdr:col>16</xdr:col>
      <xdr:colOff>7620</xdr:colOff>
      <xdr:row>15</xdr:row>
      <xdr:rowOff>0</xdr:rowOff>
    </xdr:to>
    <xdr:cxnSp macro="">
      <xdr:nvCxnSpPr>
        <xdr:cNvPr id="31" name="直線矢印コネクタ 30"/>
        <xdr:cNvCxnSpPr/>
      </xdr:nvCxnSpPr>
      <xdr:spPr>
        <a:xfrm flipH="1">
          <a:off x="9753600" y="1554480"/>
          <a:ext cx="7620" cy="101346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1</xdr:row>
      <xdr:rowOff>0</xdr:rowOff>
    </xdr:from>
    <xdr:to>
      <xdr:col>15</xdr:col>
      <xdr:colOff>7620</xdr:colOff>
      <xdr:row>6</xdr:row>
      <xdr:rowOff>15240</xdr:rowOff>
    </xdr:to>
    <xdr:cxnSp macro="">
      <xdr:nvCxnSpPr>
        <xdr:cNvPr id="34" name="直線矢印コネクタ 33"/>
        <xdr:cNvCxnSpPr/>
      </xdr:nvCxnSpPr>
      <xdr:spPr>
        <a:xfrm flipV="1">
          <a:off x="9144000" y="167640"/>
          <a:ext cx="7620" cy="86868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xdr:row>
      <xdr:rowOff>0</xdr:rowOff>
    </xdr:from>
    <xdr:to>
      <xdr:col>14</xdr:col>
      <xdr:colOff>22860</xdr:colOff>
      <xdr:row>7</xdr:row>
      <xdr:rowOff>7620</xdr:rowOff>
    </xdr:to>
    <xdr:cxnSp macro="">
      <xdr:nvCxnSpPr>
        <xdr:cNvPr id="36" name="直線矢印コネクタ 35"/>
        <xdr:cNvCxnSpPr/>
      </xdr:nvCxnSpPr>
      <xdr:spPr>
        <a:xfrm>
          <a:off x="7315200" y="1188720"/>
          <a:ext cx="1242060" cy="762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601980</xdr:colOff>
      <xdr:row>6</xdr:row>
      <xdr:rowOff>144780</xdr:rowOff>
    </xdr:from>
    <xdr:to>
      <xdr:col>12</xdr:col>
      <xdr:colOff>15240</xdr:colOff>
      <xdr:row>14</xdr:row>
      <xdr:rowOff>160020</xdr:rowOff>
    </xdr:to>
    <xdr:cxnSp macro="">
      <xdr:nvCxnSpPr>
        <xdr:cNvPr id="37" name="直線矢印コネクタ 36"/>
        <xdr:cNvCxnSpPr/>
      </xdr:nvCxnSpPr>
      <xdr:spPr>
        <a:xfrm flipV="1">
          <a:off x="7307580" y="1165860"/>
          <a:ext cx="22860" cy="138684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335280</xdr:colOff>
      <xdr:row>8</xdr:row>
      <xdr:rowOff>0</xdr:rowOff>
    </xdr:from>
    <xdr:to>
      <xdr:col>13</xdr:col>
      <xdr:colOff>594360</xdr:colOff>
      <xdr:row>14</xdr:row>
      <xdr:rowOff>167640</xdr:rowOff>
    </xdr:to>
    <xdr:cxnSp macro="">
      <xdr:nvCxnSpPr>
        <xdr:cNvPr id="40" name="直線矢印コネクタ 39"/>
        <xdr:cNvCxnSpPr/>
      </xdr:nvCxnSpPr>
      <xdr:spPr>
        <a:xfrm flipH="1">
          <a:off x="7650480" y="1363980"/>
          <a:ext cx="868680" cy="119634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45720</xdr:colOff>
      <xdr:row>10</xdr:row>
      <xdr:rowOff>137160</xdr:rowOff>
    </xdr:from>
    <xdr:to>
      <xdr:col>21</xdr:col>
      <xdr:colOff>106680</xdr:colOff>
      <xdr:row>27</xdr:row>
      <xdr:rowOff>76200</xdr:rowOff>
    </xdr:to>
    <xdr:grpSp>
      <xdr:nvGrpSpPr>
        <xdr:cNvPr id="35" name="グループ化 34"/>
        <xdr:cNvGrpSpPr/>
      </xdr:nvGrpSpPr>
      <xdr:grpSpPr>
        <a:xfrm>
          <a:off x="18745200" y="1813560"/>
          <a:ext cx="1280160" cy="2788920"/>
          <a:chOff x="8214360" y="2865120"/>
          <a:chExt cx="1280160" cy="2788920"/>
        </a:xfrm>
      </xdr:grpSpPr>
      <xdr:cxnSp macro="">
        <xdr:nvCxnSpPr>
          <xdr:cNvPr id="3" name="直線矢印コネクタ 2"/>
          <xdr:cNvCxnSpPr/>
        </xdr:nvCxnSpPr>
        <xdr:spPr>
          <a:xfrm flipH="1">
            <a:off x="8221980" y="2865120"/>
            <a:ext cx="22860" cy="2743200"/>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grpSp>
        <xdr:nvGrpSpPr>
          <xdr:cNvPr id="34" name="グループ化 33"/>
          <xdr:cNvGrpSpPr/>
        </xdr:nvGrpSpPr>
        <xdr:grpSpPr>
          <a:xfrm>
            <a:off x="8214360" y="2918460"/>
            <a:ext cx="1280160" cy="2735580"/>
            <a:chOff x="8229600" y="2865120"/>
            <a:chExt cx="1280160" cy="2735580"/>
          </a:xfrm>
        </xdr:grpSpPr>
        <xdr:cxnSp macro="">
          <xdr:nvCxnSpPr>
            <xdr:cNvPr id="8" name="直線矢印コネクタ 7"/>
            <xdr:cNvCxnSpPr/>
          </xdr:nvCxnSpPr>
          <xdr:spPr>
            <a:xfrm>
              <a:off x="8252460" y="5547360"/>
              <a:ext cx="1242060" cy="15240"/>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矢印コネクタ 8"/>
            <xdr:cNvCxnSpPr/>
          </xdr:nvCxnSpPr>
          <xdr:spPr>
            <a:xfrm>
              <a:off x="8229600" y="2865120"/>
              <a:ext cx="1242060" cy="15240"/>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矢印コネクタ 9"/>
            <xdr:cNvCxnSpPr/>
          </xdr:nvCxnSpPr>
          <xdr:spPr>
            <a:xfrm>
              <a:off x="9464040" y="2865120"/>
              <a:ext cx="45720" cy="2720340"/>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xdr:cNvCxnSpPr/>
          </xdr:nvCxnSpPr>
          <xdr:spPr>
            <a:xfrm flipH="1" flipV="1">
              <a:off x="8260080" y="2895600"/>
              <a:ext cx="571500" cy="63246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xdr:cNvCxnSpPr/>
          </xdr:nvCxnSpPr>
          <xdr:spPr>
            <a:xfrm flipH="1" flipV="1">
              <a:off x="9441180" y="2895600"/>
              <a:ext cx="15240" cy="67818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矢印コネクタ 16"/>
            <xdr:cNvCxnSpPr/>
          </xdr:nvCxnSpPr>
          <xdr:spPr>
            <a:xfrm flipH="1">
              <a:off x="8237220" y="4168140"/>
              <a:ext cx="609600" cy="137922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矢印コネクタ 19"/>
            <xdr:cNvCxnSpPr/>
          </xdr:nvCxnSpPr>
          <xdr:spPr>
            <a:xfrm>
              <a:off x="9479280" y="4175760"/>
              <a:ext cx="15240" cy="142494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正方形/長方形 22"/>
            <xdr:cNvSpPr/>
          </xdr:nvSpPr>
          <xdr:spPr>
            <a:xfrm>
              <a:off x="8846820" y="3543300"/>
              <a:ext cx="624840" cy="647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34</xdr:col>
      <xdr:colOff>449580</xdr:colOff>
      <xdr:row>5</xdr:row>
      <xdr:rowOff>53340</xdr:rowOff>
    </xdr:from>
    <xdr:to>
      <xdr:col>36</xdr:col>
      <xdr:colOff>518160</xdr:colOff>
      <xdr:row>10</xdr:row>
      <xdr:rowOff>167640</xdr:rowOff>
    </xdr:to>
    <xdr:sp macro="[0]!EditToData" textlink="">
      <xdr:nvSpPr>
        <xdr:cNvPr id="8" name="円/楕円 7"/>
        <xdr:cNvSpPr/>
      </xdr:nvSpPr>
      <xdr:spPr>
        <a:xfrm>
          <a:off x="9631680" y="906780"/>
          <a:ext cx="1394460" cy="9601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データ作成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999308</xdr:colOff>
      <xdr:row>5</xdr:row>
      <xdr:rowOff>131716</xdr:rowOff>
    </xdr:from>
    <xdr:to>
      <xdr:col>13</xdr:col>
      <xdr:colOff>696685</xdr:colOff>
      <xdr:row>13</xdr:row>
      <xdr:rowOff>139336</xdr:rowOff>
    </xdr:to>
    <xdr:sp macro="[0]!DataCreate" textlink="">
      <xdr:nvSpPr>
        <xdr:cNvPr id="2" name="正方形/長方形 1"/>
        <xdr:cNvSpPr/>
      </xdr:nvSpPr>
      <xdr:spPr>
        <a:xfrm>
          <a:off x="14628222" y="948145"/>
          <a:ext cx="1221377" cy="131390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t>ファイル出力</a:t>
          </a:r>
          <a:endParaRPr kumimoji="1" lang="en-US" altLang="ja-JP" sz="1100" b="1"/>
        </a:p>
        <a:p>
          <a:pPr algn="l"/>
          <a:endParaRPr kumimoji="1" lang="ja-JP" alt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400366</xdr:colOff>
      <xdr:row>1</xdr:row>
      <xdr:rowOff>21104</xdr:rowOff>
    </xdr:from>
    <xdr:to>
      <xdr:col>16</xdr:col>
      <xdr:colOff>138982</xdr:colOff>
      <xdr:row>5</xdr:row>
      <xdr:rowOff>23697</xdr:rowOff>
    </xdr:to>
    <xdr:grpSp>
      <xdr:nvGrpSpPr>
        <xdr:cNvPr id="8" name="グループ化 7"/>
        <xdr:cNvGrpSpPr/>
      </xdr:nvGrpSpPr>
      <xdr:grpSpPr>
        <a:xfrm>
          <a:off x="3928426" y="196364"/>
          <a:ext cx="348216" cy="673153"/>
          <a:chOff x="3928426" y="196364"/>
          <a:chExt cx="348216" cy="673153"/>
        </a:xfrm>
      </xdr:grpSpPr>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rot="10800000" flipH="1" flipV="1">
            <a:off x="3928426" y="196364"/>
            <a:ext cx="348216" cy="673153"/>
          </a:xfrm>
          <a:prstGeom prst="rect">
            <a:avLst/>
          </a:prstGeom>
        </xdr:spPr>
      </xdr:pic>
      <xdr:sp macro="" textlink="">
        <xdr:nvSpPr>
          <xdr:cNvPr id="7" name="正方形/長方形 6"/>
          <xdr:cNvSpPr/>
        </xdr:nvSpPr>
        <xdr:spPr>
          <a:xfrm>
            <a:off x="3939540" y="518160"/>
            <a:ext cx="160020" cy="1828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A57"/>
  <sheetViews>
    <sheetView topLeftCell="B28" zoomScaleNormal="100" workbookViewId="0">
      <selection activeCell="D29" sqref="D29:S29"/>
    </sheetView>
  </sheetViews>
  <sheetFormatPr defaultRowHeight="13.2" x14ac:dyDescent="0.2"/>
  <cols>
    <col min="1" max="1" width="4.33203125" style="20" customWidth="1"/>
    <col min="2" max="2" width="95.77734375" style="16" customWidth="1"/>
    <col min="3" max="21" width="3.5546875" style="1" customWidth="1"/>
  </cols>
  <sheetData>
    <row r="1" spans="1:27" ht="13.8" thickBot="1" x14ac:dyDescent="0.25">
      <c r="A1" s="17"/>
      <c r="B1" s="15" t="s">
        <v>12</v>
      </c>
      <c r="D1" s="1">
        <v>1</v>
      </c>
      <c r="N1" s="1" t="s">
        <v>9</v>
      </c>
    </row>
    <row r="2" spans="1:27" x14ac:dyDescent="0.2">
      <c r="A2" s="17" t="s">
        <v>29</v>
      </c>
      <c r="B2" s="14" t="s">
        <v>13</v>
      </c>
      <c r="C2" s="1">
        <v>1</v>
      </c>
      <c r="D2" s="3"/>
      <c r="E2" s="4"/>
      <c r="F2" s="4"/>
      <c r="G2" s="4"/>
      <c r="H2" s="4"/>
      <c r="I2" s="4"/>
      <c r="J2" s="4"/>
      <c r="K2" s="4"/>
      <c r="L2" s="4"/>
      <c r="M2" s="5"/>
    </row>
    <row r="3" spans="1:27" x14ac:dyDescent="0.2">
      <c r="A3" s="18" t="str">
        <f t="shared" ref="A3:A10" si="0">$A$2&amp;"-"&amp;(ROW(A3) - ROW($A$2))</f>
        <v>1-1</v>
      </c>
      <c r="B3" s="14" t="s">
        <v>20</v>
      </c>
      <c r="D3" s="6"/>
      <c r="E3" s="2"/>
      <c r="F3" s="2"/>
      <c r="G3" s="2"/>
      <c r="H3" s="2"/>
      <c r="I3" s="2"/>
      <c r="J3" s="2"/>
      <c r="K3" s="2"/>
      <c r="L3" s="2"/>
      <c r="M3" s="7"/>
    </row>
    <row r="4" spans="1:27" x14ac:dyDescent="0.2">
      <c r="A4" s="18" t="str">
        <f t="shared" si="0"/>
        <v>1-2</v>
      </c>
      <c r="B4" s="14" t="s">
        <v>60</v>
      </c>
      <c r="D4" s="6"/>
      <c r="E4" s="2"/>
      <c r="F4" s="2"/>
      <c r="G4" s="2"/>
      <c r="H4" s="2"/>
      <c r="I4" s="2"/>
      <c r="J4" s="2"/>
      <c r="K4" s="2"/>
      <c r="L4" s="2"/>
      <c r="M4" s="7"/>
    </row>
    <row r="5" spans="1:27" x14ac:dyDescent="0.2">
      <c r="A5" s="18" t="str">
        <f t="shared" si="0"/>
        <v>1-3</v>
      </c>
      <c r="B5" s="14" t="s">
        <v>61</v>
      </c>
      <c r="D5" s="6"/>
      <c r="E5" s="2"/>
      <c r="F5" s="2"/>
      <c r="G5" s="2"/>
      <c r="H5" s="2"/>
      <c r="I5" s="2"/>
      <c r="J5" s="2"/>
      <c r="K5" s="2"/>
      <c r="L5" s="2"/>
      <c r="M5" s="7"/>
    </row>
    <row r="6" spans="1:27" x14ac:dyDescent="0.2">
      <c r="A6" s="18" t="str">
        <f t="shared" si="0"/>
        <v>1-4</v>
      </c>
      <c r="B6" s="14" t="s">
        <v>21</v>
      </c>
      <c r="D6" s="6"/>
      <c r="E6" s="2"/>
      <c r="F6" s="2"/>
      <c r="G6" s="2"/>
      <c r="H6" s="2"/>
      <c r="I6" s="2"/>
      <c r="J6" s="2"/>
      <c r="K6" s="2"/>
      <c r="L6" s="2"/>
      <c r="M6" s="7"/>
    </row>
    <row r="7" spans="1:27" ht="13.8" thickBot="1" x14ac:dyDescent="0.25">
      <c r="A7" s="18" t="str">
        <f t="shared" si="0"/>
        <v>1-5</v>
      </c>
      <c r="B7" s="14" t="s">
        <v>62</v>
      </c>
      <c r="D7" s="8"/>
      <c r="E7" s="9"/>
      <c r="F7" s="9"/>
      <c r="G7" s="9"/>
      <c r="H7" s="9"/>
      <c r="I7" s="9"/>
      <c r="J7" s="9"/>
      <c r="K7" s="9"/>
      <c r="L7" s="9"/>
      <c r="M7" s="10"/>
      <c r="N7" s="1">
        <v>6</v>
      </c>
    </row>
    <row r="8" spans="1:27" x14ac:dyDescent="0.2">
      <c r="A8" s="18" t="str">
        <f t="shared" si="0"/>
        <v>1-6</v>
      </c>
      <c r="B8" s="14" t="s">
        <v>64</v>
      </c>
      <c r="C8" s="1" t="s">
        <v>10</v>
      </c>
      <c r="M8" s="1">
        <v>10</v>
      </c>
    </row>
    <row r="9" spans="1:27" x14ac:dyDescent="0.2">
      <c r="A9" s="18" t="str">
        <f t="shared" si="0"/>
        <v>1-7</v>
      </c>
      <c r="B9" s="14" t="s">
        <v>63</v>
      </c>
      <c r="E9" s="11"/>
      <c r="F9" s="11"/>
      <c r="H9" s="11"/>
      <c r="J9" s="11"/>
      <c r="M9" s="11"/>
      <c r="P9" s="11"/>
      <c r="Q9" s="11"/>
      <c r="S9" s="11"/>
      <c r="T9" s="11"/>
      <c r="U9" s="11"/>
    </row>
    <row r="10" spans="1:27" x14ac:dyDescent="0.2">
      <c r="A10" s="18" t="str">
        <f t="shared" si="0"/>
        <v>1-8</v>
      </c>
      <c r="B10" s="14" t="s">
        <v>22</v>
      </c>
      <c r="D10" s="11"/>
      <c r="E10" s="13" t="s">
        <v>0</v>
      </c>
      <c r="F10" s="12"/>
      <c r="H10" s="11"/>
      <c r="J10" s="11"/>
      <c r="M10" s="11"/>
      <c r="N10" s="13" t="s">
        <v>3</v>
      </c>
      <c r="P10" s="13" t="s">
        <v>4</v>
      </c>
      <c r="Q10" s="11"/>
      <c r="T10" s="13" t="s">
        <v>5</v>
      </c>
    </row>
    <row r="11" spans="1:27" x14ac:dyDescent="0.2">
      <c r="A11" s="17"/>
      <c r="B11" s="14" t="s">
        <v>17</v>
      </c>
      <c r="E11" s="11"/>
      <c r="F11" s="12"/>
      <c r="H11" s="13" t="s">
        <v>1</v>
      </c>
      <c r="J11" s="13" t="s">
        <v>2</v>
      </c>
      <c r="N11" s="11"/>
      <c r="P11" s="11"/>
      <c r="T11" s="11"/>
    </row>
    <row r="12" spans="1:27" x14ac:dyDescent="0.2">
      <c r="A12" s="17" t="s">
        <v>37</v>
      </c>
      <c r="B12" s="14" t="s">
        <v>67</v>
      </c>
      <c r="H12" s="11"/>
      <c r="J12" s="11"/>
      <c r="K12" s="11"/>
      <c r="N12" s="11"/>
    </row>
    <row r="13" spans="1:27" x14ac:dyDescent="0.2">
      <c r="A13" s="18" t="str">
        <f>$A$12&amp;"-"&amp;(ROW(A13) - ROW($A$12))</f>
        <v>2-1</v>
      </c>
      <c r="B13" s="14" t="s">
        <v>44</v>
      </c>
      <c r="H13" s="11"/>
      <c r="J13" s="12"/>
      <c r="K13" s="12"/>
    </row>
    <row r="14" spans="1:27" x14ac:dyDescent="0.2">
      <c r="A14" s="18" t="str">
        <f>$A$12&amp;"-"&amp;(ROW(A14) - ROW($A$12))</f>
        <v>2-2</v>
      </c>
      <c r="B14" s="14" t="s">
        <v>46</v>
      </c>
      <c r="H14" s="12"/>
    </row>
    <row r="15" spans="1:27" ht="14.4" x14ac:dyDescent="0.2">
      <c r="A15" s="18" t="str">
        <f>$A$12&amp;"-"&amp;(ROW(A15) - ROW($A$12))</f>
        <v>2-3</v>
      </c>
      <c r="B15" s="14" t="s">
        <v>45</v>
      </c>
      <c r="D15" s="11"/>
      <c r="F15" s="11"/>
      <c r="H15" s="11"/>
      <c r="K15" s="11"/>
      <c r="L15" s="11"/>
      <c r="P15" s="11"/>
      <c r="T15" s="11"/>
      <c r="AA15" s="21"/>
    </row>
    <row r="16" spans="1:27" x14ac:dyDescent="0.2">
      <c r="A16" s="18" t="str">
        <f>$A$12&amp;"-"&amp;(ROW(A16) - ROW($A$12))</f>
        <v>2-4</v>
      </c>
      <c r="B16" s="16" t="s">
        <v>68</v>
      </c>
      <c r="D16" s="11"/>
      <c r="E16" s="13" t="s">
        <v>6</v>
      </c>
      <c r="F16" s="11"/>
      <c r="H16" s="11"/>
      <c r="L16" s="13" t="s">
        <v>8</v>
      </c>
      <c r="M16" s="11"/>
      <c r="O16" s="11"/>
      <c r="P16" s="13" t="s">
        <v>9</v>
      </c>
      <c r="Q16" s="11"/>
      <c r="S16" s="11"/>
      <c r="T16" s="13" t="s">
        <v>10</v>
      </c>
    </row>
    <row r="17" spans="1:20" x14ac:dyDescent="0.2">
      <c r="A17" s="17" t="s">
        <v>38</v>
      </c>
      <c r="B17" s="14" t="s">
        <v>18</v>
      </c>
      <c r="H17" s="13" t="s">
        <v>7</v>
      </c>
      <c r="I17" s="11"/>
      <c r="J17" s="11"/>
      <c r="M17" s="11"/>
      <c r="P17" s="11"/>
      <c r="T17" s="11"/>
    </row>
    <row r="18" spans="1:20" x14ac:dyDescent="0.2">
      <c r="A18" s="18" t="str">
        <f>$A$17&amp;"-"&amp;(ROW(A18) - ROW($A$17))</f>
        <v>3-1</v>
      </c>
      <c r="B18" s="14" t="s">
        <v>57</v>
      </c>
      <c r="T18" s="11"/>
    </row>
    <row r="19" spans="1:20" x14ac:dyDescent="0.2">
      <c r="B19" s="16" t="s">
        <v>58</v>
      </c>
      <c r="E19" s="11"/>
      <c r="F19" s="11"/>
      <c r="T19" s="12"/>
    </row>
    <row r="20" spans="1:20" x14ac:dyDescent="0.2">
      <c r="A20" s="17" t="s">
        <v>23</v>
      </c>
      <c r="B20" s="14" t="s">
        <v>19</v>
      </c>
      <c r="E20" s="13" t="s">
        <v>11</v>
      </c>
    </row>
    <row r="21" spans="1:20" x14ac:dyDescent="0.2">
      <c r="A21" s="17"/>
      <c r="B21" s="14" t="s">
        <v>14</v>
      </c>
      <c r="D21" s="11"/>
      <c r="E21" s="11"/>
    </row>
    <row r="22" spans="1:20" x14ac:dyDescent="0.2">
      <c r="A22" s="17" t="s">
        <v>39</v>
      </c>
      <c r="B22" s="14" t="s">
        <v>15</v>
      </c>
    </row>
    <row r="23" spans="1:20" x14ac:dyDescent="0.2">
      <c r="A23" s="18" t="str">
        <f>$A$22&amp;"-"&amp;(ROW(A23) - ROW($A$22))</f>
        <v>4-1</v>
      </c>
      <c r="B23" s="14" t="s">
        <v>24</v>
      </c>
    </row>
    <row r="24" spans="1:20" x14ac:dyDescent="0.2">
      <c r="A24" s="18" t="str">
        <f>$A$22&amp;"-"&amp;(ROW(A24) - ROW($A$22))</f>
        <v>4-2</v>
      </c>
      <c r="B24" s="14" t="s">
        <v>25</v>
      </c>
      <c r="D24" s="95" t="s">
        <v>79</v>
      </c>
      <c r="E24" s="95"/>
      <c r="F24" s="95"/>
      <c r="G24" s="95"/>
      <c r="H24" s="95"/>
      <c r="I24" s="95"/>
      <c r="J24" s="95"/>
      <c r="K24" s="95"/>
      <c r="L24" s="95"/>
      <c r="M24" s="95"/>
      <c r="N24" s="95"/>
      <c r="O24" s="95"/>
      <c r="P24" s="95"/>
      <c r="Q24" s="95"/>
      <c r="R24" s="95"/>
      <c r="S24" s="95"/>
    </row>
    <row r="25" spans="1:20" x14ac:dyDescent="0.2">
      <c r="A25" s="18" t="str">
        <f>$A$22&amp;"-"&amp;(ROW(A25) - ROW($A$22))</f>
        <v>4-3</v>
      </c>
      <c r="B25" s="14" t="s">
        <v>26</v>
      </c>
      <c r="D25" s="94" t="s">
        <v>81</v>
      </c>
      <c r="E25" s="94"/>
      <c r="F25" s="94"/>
      <c r="G25" s="94"/>
      <c r="H25" s="94"/>
      <c r="I25" s="94"/>
      <c r="J25" s="94"/>
      <c r="K25" s="94"/>
      <c r="L25" s="94"/>
      <c r="M25" s="94"/>
      <c r="N25" s="94"/>
      <c r="O25" s="94"/>
      <c r="P25" s="94"/>
      <c r="Q25" s="94"/>
      <c r="R25" s="94"/>
      <c r="S25" s="94"/>
    </row>
    <row r="26" spans="1:20" x14ac:dyDescent="0.2">
      <c r="A26" s="17"/>
      <c r="B26" s="14" t="s">
        <v>27</v>
      </c>
      <c r="D26" s="94" t="s">
        <v>82</v>
      </c>
      <c r="E26" s="94"/>
      <c r="F26" s="94"/>
      <c r="G26" s="94"/>
      <c r="H26" s="94"/>
      <c r="I26" s="94"/>
      <c r="J26" s="94"/>
      <c r="K26" s="94"/>
      <c r="L26" s="94"/>
      <c r="M26" s="94"/>
      <c r="N26" s="94"/>
      <c r="O26" s="94"/>
      <c r="P26" s="94"/>
      <c r="Q26" s="94"/>
      <c r="R26" s="94"/>
      <c r="S26" s="94"/>
    </row>
    <row r="27" spans="1:20" x14ac:dyDescent="0.2">
      <c r="A27" s="17"/>
      <c r="B27" s="14" t="s">
        <v>28</v>
      </c>
      <c r="D27" s="94" t="s">
        <v>80</v>
      </c>
      <c r="E27" s="94"/>
      <c r="F27" s="94"/>
      <c r="G27" s="94"/>
      <c r="H27" s="94"/>
      <c r="I27" s="94"/>
      <c r="J27" s="94"/>
      <c r="K27" s="94"/>
      <c r="L27" s="94"/>
      <c r="M27" s="94"/>
      <c r="N27" s="94"/>
      <c r="O27" s="94"/>
      <c r="P27" s="94"/>
      <c r="Q27" s="94"/>
      <c r="R27" s="94"/>
      <c r="S27" s="94"/>
    </row>
    <row r="28" spans="1:20" x14ac:dyDescent="0.2">
      <c r="B28" s="84" t="s">
        <v>16</v>
      </c>
      <c r="D28" s="94" t="s">
        <v>83</v>
      </c>
      <c r="E28" s="94"/>
      <c r="F28" s="94"/>
      <c r="G28" s="94"/>
      <c r="H28" s="94"/>
      <c r="I28" s="94"/>
      <c r="J28" s="94"/>
      <c r="K28" s="94"/>
      <c r="L28" s="94"/>
      <c r="M28" s="94"/>
      <c r="N28" s="94"/>
      <c r="O28" s="94"/>
      <c r="P28" s="94"/>
      <c r="Q28" s="94"/>
      <c r="R28" s="94"/>
      <c r="S28" s="94"/>
    </row>
    <row r="29" spans="1:20" x14ac:dyDescent="0.2">
      <c r="A29" s="17" t="s">
        <v>29</v>
      </c>
      <c r="B29" s="85" t="s">
        <v>48</v>
      </c>
      <c r="D29" s="94" t="s">
        <v>84</v>
      </c>
      <c r="E29" s="94"/>
      <c r="F29" s="94"/>
      <c r="G29" s="94"/>
      <c r="H29" s="94"/>
      <c r="I29" s="94"/>
      <c r="J29" s="94"/>
      <c r="K29" s="94"/>
      <c r="L29" s="94"/>
      <c r="M29" s="94"/>
      <c r="N29" s="94"/>
      <c r="O29" s="94"/>
      <c r="P29" s="94"/>
      <c r="Q29" s="94"/>
      <c r="R29" s="94"/>
      <c r="S29" s="94"/>
    </row>
    <row r="30" spans="1:20" x14ac:dyDescent="0.2">
      <c r="A30" s="17" t="s">
        <v>30</v>
      </c>
      <c r="B30" s="85" t="s">
        <v>40</v>
      </c>
      <c r="D30" s="94" t="s">
        <v>85</v>
      </c>
      <c r="E30" s="94"/>
      <c r="F30" s="94"/>
      <c r="G30" s="94"/>
      <c r="H30" s="94"/>
      <c r="I30" s="94"/>
      <c r="J30" s="94"/>
      <c r="K30" s="94"/>
      <c r="L30" s="94"/>
      <c r="M30" s="94"/>
      <c r="N30" s="94"/>
      <c r="O30" s="94"/>
      <c r="P30" s="94"/>
      <c r="Q30" s="94"/>
      <c r="R30" s="94"/>
      <c r="S30" s="94"/>
    </row>
    <row r="31" spans="1:20" ht="13.8" thickBot="1" x14ac:dyDescent="0.25">
      <c r="A31" s="17" t="s">
        <v>31</v>
      </c>
      <c r="B31" s="85" t="s">
        <v>41</v>
      </c>
    </row>
    <row r="32" spans="1:20" ht="13.8" thickBot="1" x14ac:dyDescent="0.25">
      <c r="A32" s="17"/>
      <c r="B32" s="85" t="s">
        <v>42</v>
      </c>
      <c r="D32" s="26" t="s">
        <v>90</v>
      </c>
      <c r="E32" s="96" t="s">
        <v>88</v>
      </c>
      <c r="F32" s="96"/>
      <c r="G32" s="96"/>
      <c r="H32" s="96" t="s">
        <v>89</v>
      </c>
      <c r="I32" s="96"/>
      <c r="J32" s="97"/>
    </row>
    <row r="33" spans="1:10" x14ac:dyDescent="0.2">
      <c r="B33" s="85" t="s">
        <v>43</v>
      </c>
      <c r="D33" s="29" t="s">
        <v>91</v>
      </c>
      <c r="E33" s="98">
        <v>-10</v>
      </c>
      <c r="F33" s="98"/>
      <c r="G33" s="98"/>
      <c r="H33" s="98">
        <v>-10</v>
      </c>
      <c r="I33" s="98"/>
      <c r="J33" s="99"/>
    </row>
    <row r="34" spans="1:10" x14ac:dyDescent="0.2">
      <c r="B34" s="86" t="s">
        <v>47</v>
      </c>
      <c r="D34" s="27" t="s">
        <v>92</v>
      </c>
      <c r="E34" s="100">
        <v>0</v>
      </c>
      <c r="F34" s="100"/>
      <c r="G34" s="100"/>
      <c r="H34" s="100">
        <v>-20</v>
      </c>
      <c r="I34" s="100"/>
      <c r="J34" s="101"/>
    </row>
    <row r="35" spans="1:10" x14ac:dyDescent="0.2">
      <c r="A35" s="17" t="s">
        <v>29</v>
      </c>
      <c r="B35" s="87" t="s">
        <v>55</v>
      </c>
      <c r="D35" s="27" t="s">
        <v>101</v>
      </c>
      <c r="E35" s="100">
        <v>0</v>
      </c>
      <c r="F35" s="100"/>
      <c r="G35" s="100"/>
      <c r="H35" s="100">
        <v>-20</v>
      </c>
      <c r="I35" s="100"/>
      <c r="J35" s="101"/>
    </row>
    <row r="36" spans="1:10" x14ac:dyDescent="0.2">
      <c r="A36" s="18" t="str">
        <f>$A$35&amp;"-"&amp;(ROW(A36) - ROW($A$35))</f>
        <v>1-1</v>
      </c>
      <c r="B36" s="87" t="s">
        <v>49</v>
      </c>
      <c r="D36" s="27" t="s">
        <v>93</v>
      </c>
      <c r="E36" s="102">
        <v>-10</v>
      </c>
      <c r="F36" s="102"/>
      <c r="G36" s="102"/>
      <c r="H36" s="102">
        <v>-10</v>
      </c>
      <c r="I36" s="102"/>
      <c r="J36" s="103"/>
    </row>
    <row r="37" spans="1:10" x14ac:dyDescent="0.2">
      <c r="A37" s="18" t="str">
        <f>$A$35&amp;"-"&amp;(ROW(A37) - ROW($A$35))</f>
        <v>1-2</v>
      </c>
      <c r="B37" s="87" t="s">
        <v>50</v>
      </c>
      <c r="D37" s="27" t="s">
        <v>90</v>
      </c>
      <c r="E37" s="100">
        <v>0</v>
      </c>
      <c r="F37" s="100"/>
      <c r="G37" s="100"/>
      <c r="H37" s="100">
        <v>-10</v>
      </c>
      <c r="I37" s="100"/>
      <c r="J37" s="101"/>
    </row>
    <row r="38" spans="1:10" x14ac:dyDescent="0.2">
      <c r="A38" s="18" t="str">
        <f>$A$35&amp;"-"&amp;(ROW(A38) - ROW($A$35))</f>
        <v>1-3</v>
      </c>
      <c r="B38" s="87" t="s">
        <v>51</v>
      </c>
      <c r="D38" s="27" t="s">
        <v>94</v>
      </c>
      <c r="E38" s="102">
        <v>-10</v>
      </c>
      <c r="F38" s="102"/>
      <c r="G38" s="102"/>
      <c r="H38" s="102">
        <v>-10</v>
      </c>
      <c r="I38" s="102"/>
      <c r="J38" s="103"/>
    </row>
    <row r="39" spans="1:10" x14ac:dyDescent="0.2">
      <c r="A39" s="18" t="str">
        <f>$A$35&amp;"-"&amp;(ROW(A39) - ROW($A$35))</f>
        <v>1-4</v>
      </c>
      <c r="B39" s="87" t="s">
        <v>52</v>
      </c>
      <c r="D39" s="27" t="s">
        <v>95</v>
      </c>
      <c r="E39" s="102">
        <v>-10</v>
      </c>
      <c r="F39" s="102"/>
      <c r="G39" s="102"/>
      <c r="H39" s="102">
        <v>-10</v>
      </c>
      <c r="I39" s="102"/>
      <c r="J39" s="103"/>
    </row>
    <row r="40" spans="1:10" x14ac:dyDescent="0.2">
      <c r="B40" s="87" t="s">
        <v>53</v>
      </c>
      <c r="D40" s="27" t="s">
        <v>100</v>
      </c>
      <c r="E40" s="100">
        <v>0</v>
      </c>
      <c r="F40" s="100"/>
      <c r="G40" s="100"/>
      <c r="H40" s="100">
        <v>-20</v>
      </c>
      <c r="I40" s="100"/>
      <c r="J40" s="101"/>
    </row>
    <row r="41" spans="1:10" x14ac:dyDescent="0.2">
      <c r="A41" s="17" t="s">
        <v>34</v>
      </c>
      <c r="B41" s="87" t="s">
        <v>54</v>
      </c>
      <c r="D41" s="27" t="s">
        <v>96</v>
      </c>
      <c r="E41" s="102">
        <v>-10</v>
      </c>
      <c r="F41" s="102"/>
      <c r="G41" s="102"/>
      <c r="H41" s="102">
        <v>-10</v>
      </c>
      <c r="I41" s="102"/>
      <c r="J41" s="103"/>
    </row>
    <row r="42" spans="1:10" x14ac:dyDescent="0.2">
      <c r="B42" s="87" t="s">
        <v>86</v>
      </c>
      <c r="D42" s="27" t="s">
        <v>97</v>
      </c>
      <c r="E42" s="102">
        <v>-10</v>
      </c>
      <c r="F42" s="102"/>
      <c r="G42" s="102"/>
      <c r="H42" s="102">
        <v>-10</v>
      </c>
      <c r="I42" s="102"/>
      <c r="J42" s="103"/>
    </row>
    <row r="43" spans="1:10" x14ac:dyDescent="0.2">
      <c r="A43" s="17" t="s">
        <v>35</v>
      </c>
      <c r="B43" s="87" t="s">
        <v>74</v>
      </c>
      <c r="D43" s="27" t="s">
        <v>98</v>
      </c>
      <c r="E43" s="102">
        <v>-10</v>
      </c>
      <c r="F43" s="102"/>
      <c r="G43" s="102"/>
      <c r="H43" s="102">
        <v>-10</v>
      </c>
      <c r="I43" s="102"/>
      <c r="J43" s="103"/>
    </row>
    <row r="44" spans="1:10" ht="13.8" thickBot="1" x14ac:dyDescent="0.25">
      <c r="A44" s="17" t="s">
        <v>36</v>
      </c>
      <c r="B44" s="87" t="s">
        <v>87</v>
      </c>
      <c r="D44" s="28" t="s">
        <v>99</v>
      </c>
      <c r="E44" s="104">
        <v>-10</v>
      </c>
      <c r="F44" s="104"/>
      <c r="G44" s="104"/>
      <c r="H44" s="104">
        <v>-10</v>
      </c>
      <c r="I44" s="104"/>
      <c r="J44" s="105"/>
    </row>
    <row r="45" spans="1:10" x14ac:dyDescent="0.2">
      <c r="B45" s="19" t="s">
        <v>56</v>
      </c>
    </row>
    <row r="46" spans="1:10" x14ac:dyDescent="0.2">
      <c r="A46" s="17" t="s">
        <v>29</v>
      </c>
      <c r="B46" s="16" t="s">
        <v>59</v>
      </c>
    </row>
    <row r="47" spans="1:10" x14ac:dyDescent="0.2">
      <c r="A47" s="18" t="str">
        <f>$A$46&amp;"-"&amp;(ROW(A47) - ROW($A$46))</f>
        <v>1-1</v>
      </c>
      <c r="B47" s="16" t="s">
        <v>66</v>
      </c>
    </row>
    <row r="48" spans="1:10" x14ac:dyDescent="0.2">
      <c r="B48" s="16" t="s">
        <v>65</v>
      </c>
    </row>
    <row r="49" spans="1:2" x14ac:dyDescent="0.2">
      <c r="A49" s="17" t="s">
        <v>31</v>
      </c>
      <c r="B49" s="16" t="s">
        <v>69</v>
      </c>
    </row>
    <row r="50" spans="1:2" x14ac:dyDescent="0.2">
      <c r="A50" s="17" t="s">
        <v>32</v>
      </c>
      <c r="B50" s="16" t="s">
        <v>70</v>
      </c>
    </row>
    <row r="51" spans="1:2" x14ac:dyDescent="0.2">
      <c r="B51" s="16" t="s">
        <v>71</v>
      </c>
    </row>
    <row r="52" spans="1:2" x14ac:dyDescent="0.2">
      <c r="A52" s="17" t="s">
        <v>33</v>
      </c>
      <c r="B52" s="16" t="s">
        <v>72</v>
      </c>
    </row>
    <row r="53" spans="1:2" x14ac:dyDescent="0.2">
      <c r="B53" s="19" t="s">
        <v>73</v>
      </c>
    </row>
    <row r="54" spans="1:2" x14ac:dyDescent="0.2">
      <c r="A54" s="20">
        <v>1</v>
      </c>
      <c r="B54" s="16" t="s">
        <v>75</v>
      </c>
    </row>
    <row r="55" spans="1:2" x14ac:dyDescent="0.2">
      <c r="A55" s="17" t="s">
        <v>30</v>
      </c>
      <c r="B55" s="16" t="s">
        <v>76</v>
      </c>
    </row>
    <row r="56" spans="1:2" x14ac:dyDescent="0.2">
      <c r="B56" s="19" t="s">
        <v>77</v>
      </c>
    </row>
    <row r="57" spans="1:2" x14ac:dyDescent="0.2">
      <c r="B57" s="16" t="s">
        <v>78</v>
      </c>
    </row>
  </sheetData>
  <mergeCells count="33">
    <mergeCell ref="E44:G44"/>
    <mergeCell ref="H44:J44"/>
    <mergeCell ref="E40:G40"/>
    <mergeCell ref="H40:J40"/>
    <mergeCell ref="E41:G41"/>
    <mergeCell ref="H41:J41"/>
    <mergeCell ref="E43:G43"/>
    <mergeCell ref="H43:J43"/>
    <mergeCell ref="E42:G42"/>
    <mergeCell ref="H42:J42"/>
    <mergeCell ref="E38:G38"/>
    <mergeCell ref="H38:J38"/>
    <mergeCell ref="E39:G39"/>
    <mergeCell ref="H39:J39"/>
    <mergeCell ref="E35:G35"/>
    <mergeCell ref="H35:J35"/>
    <mergeCell ref="E36:G36"/>
    <mergeCell ref="H36:J36"/>
    <mergeCell ref="E37:G37"/>
    <mergeCell ref="H37:J37"/>
    <mergeCell ref="E32:G32"/>
    <mergeCell ref="H32:J32"/>
    <mergeCell ref="E33:G33"/>
    <mergeCell ref="H33:J33"/>
    <mergeCell ref="E34:G34"/>
    <mergeCell ref="H34:J34"/>
    <mergeCell ref="D30:S30"/>
    <mergeCell ref="D24:S24"/>
    <mergeCell ref="D25:S25"/>
    <mergeCell ref="D26:S26"/>
    <mergeCell ref="D27:S27"/>
    <mergeCell ref="D28:S28"/>
    <mergeCell ref="D29:S29"/>
  </mergeCells>
  <phoneticPr fontId="1"/>
  <pageMargins left="0.7" right="0.7" top="0.75" bottom="0.75" header="0.3" footer="0.3"/>
  <pageSetup paperSize="9" orientation="portrait" horizontalDpi="4294967293" verticalDpi="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K48"/>
  <sheetViews>
    <sheetView topLeftCell="AE1" zoomScale="85" zoomScaleNormal="85" workbookViewId="0">
      <selection activeCell="Y5" sqref="Y5"/>
    </sheetView>
  </sheetViews>
  <sheetFormatPr defaultColWidth="2.44140625" defaultRowHeight="13.2" x14ac:dyDescent="0.2"/>
  <cols>
    <col min="2" max="2" width="2.44140625" customWidth="1"/>
    <col min="33" max="33" width="36.6640625" customWidth="1"/>
    <col min="34" max="34" width="2.44140625" customWidth="1"/>
    <col min="35" max="35" width="3.5546875" bestFit="1" customWidth="1"/>
    <col min="36" max="36" width="46.33203125" customWidth="1"/>
    <col min="37" max="37" width="98.88671875" customWidth="1"/>
  </cols>
  <sheetData>
    <row r="1" spans="1:37" ht="13.8" thickBot="1" x14ac:dyDescent="0.25">
      <c r="A1" s="30"/>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2"/>
      <c r="AG1" t="s">
        <v>147</v>
      </c>
      <c r="AJ1" s="1" t="s">
        <v>107</v>
      </c>
    </row>
    <row r="2" spans="1:37" ht="13.8" thickBot="1" x14ac:dyDescent="0.25">
      <c r="A2" s="33"/>
      <c r="B2" s="22"/>
      <c r="C2" s="142">
        <v>1</v>
      </c>
      <c r="D2" s="142"/>
      <c r="E2" s="142">
        <v>2</v>
      </c>
      <c r="F2" s="142"/>
      <c r="G2" s="142">
        <v>3</v>
      </c>
      <c r="H2" s="142"/>
      <c r="I2" s="142">
        <v>4</v>
      </c>
      <c r="J2" s="142"/>
      <c r="K2" s="142">
        <v>5</v>
      </c>
      <c r="L2" s="142"/>
      <c r="M2" s="142">
        <v>6</v>
      </c>
      <c r="N2" s="142"/>
      <c r="O2" s="142">
        <v>7</v>
      </c>
      <c r="P2" s="142"/>
      <c r="Q2" s="142">
        <v>8</v>
      </c>
      <c r="R2" s="142"/>
      <c r="S2" s="142">
        <v>9</v>
      </c>
      <c r="T2" s="142"/>
      <c r="U2" s="142">
        <v>10</v>
      </c>
      <c r="V2" s="142"/>
      <c r="W2" s="25"/>
      <c r="X2" s="34"/>
      <c r="AA2" s="106" t="s">
        <v>102</v>
      </c>
      <c r="AB2" s="107"/>
      <c r="AC2" s="107"/>
      <c r="AD2" s="107"/>
      <c r="AE2" s="108"/>
      <c r="AF2" s="35"/>
      <c r="AG2" t="s">
        <v>148</v>
      </c>
      <c r="AI2">
        <v>1</v>
      </c>
      <c r="AJ2" t="s">
        <v>110</v>
      </c>
      <c r="AK2" t="s">
        <v>121</v>
      </c>
    </row>
    <row r="3" spans="1:37" x14ac:dyDescent="0.2">
      <c r="A3" s="33"/>
      <c r="B3" s="139">
        <v>1</v>
      </c>
      <c r="C3" s="131"/>
      <c r="D3" s="124"/>
      <c r="E3" s="124"/>
      <c r="F3" s="124"/>
      <c r="G3" s="124"/>
      <c r="H3" s="124"/>
      <c r="I3" s="124"/>
      <c r="J3" s="124"/>
      <c r="K3" s="124"/>
      <c r="L3" s="124"/>
      <c r="M3" s="124"/>
      <c r="N3" s="124"/>
      <c r="O3" s="124"/>
      <c r="P3" s="124"/>
      <c r="Q3" s="124"/>
      <c r="R3" s="124"/>
      <c r="S3" s="124"/>
      <c r="T3" s="124"/>
      <c r="U3" s="124"/>
      <c r="V3" s="126"/>
      <c r="W3" s="141"/>
      <c r="AA3" s="112"/>
      <c r="AB3" s="113"/>
      <c r="AC3" s="113"/>
      <c r="AD3" s="113"/>
      <c r="AE3" s="114"/>
      <c r="AF3" s="35"/>
      <c r="AG3" t="s">
        <v>149</v>
      </c>
      <c r="AI3">
        <v>2</v>
      </c>
      <c r="AJ3" t="s">
        <v>111</v>
      </c>
      <c r="AK3" t="s">
        <v>141</v>
      </c>
    </row>
    <row r="4" spans="1:37" ht="13.8" thickBot="1" x14ac:dyDescent="0.25">
      <c r="A4" s="33"/>
      <c r="B4" s="139"/>
      <c r="C4" s="129"/>
      <c r="D4" s="125"/>
      <c r="E4" s="125"/>
      <c r="F4" s="125"/>
      <c r="G4" s="125"/>
      <c r="H4" s="125"/>
      <c r="I4" s="125"/>
      <c r="J4" s="125"/>
      <c r="K4" s="125"/>
      <c r="L4" s="125"/>
      <c r="M4" s="125"/>
      <c r="N4" s="125"/>
      <c r="O4" s="125"/>
      <c r="P4" s="125"/>
      <c r="Q4" s="125"/>
      <c r="R4" s="125"/>
      <c r="S4" s="125"/>
      <c r="T4" s="125"/>
      <c r="U4" s="125"/>
      <c r="V4" s="127"/>
      <c r="W4" s="141"/>
      <c r="AA4" s="109"/>
      <c r="AB4" s="110"/>
      <c r="AC4" s="110"/>
      <c r="AD4" s="110"/>
      <c r="AE4" s="111"/>
      <c r="AF4" s="35"/>
      <c r="AG4" t="s">
        <v>109</v>
      </c>
      <c r="AI4">
        <v>3</v>
      </c>
      <c r="AJ4" t="s">
        <v>118</v>
      </c>
      <c r="AK4" t="s">
        <v>122</v>
      </c>
    </row>
    <row r="5" spans="1:37" ht="13.8" thickBot="1" x14ac:dyDescent="0.25">
      <c r="A5" s="33"/>
      <c r="B5" s="139">
        <v>2</v>
      </c>
      <c r="C5" s="129"/>
      <c r="D5" s="125"/>
      <c r="E5" s="125"/>
      <c r="F5" s="125"/>
      <c r="G5" s="125"/>
      <c r="H5" s="125"/>
      <c r="I5" s="125"/>
      <c r="J5" s="125"/>
      <c r="K5" s="125"/>
      <c r="L5" s="125"/>
      <c r="M5" s="125"/>
      <c r="N5" s="125"/>
      <c r="O5" s="125"/>
      <c r="P5" s="125"/>
      <c r="Q5" s="125"/>
      <c r="R5" s="125"/>
      <c r="S5" s="125"/>
      <c r="T5" s="125"/>
      <c r="U5" s="125"/>
      <c r="V5" s="127"/>
      <c r="W5" s="141"/>
      <c r="AA5" s="34"/>
      <c r="AB5" s="34"/>
      <c r="AC5" s="34"/>
      <c r="AD5" s="34"/>
      <c r="AE5" s="34"/>
      <c r="AF5" s="35"/>
      <c r="AG5" t="s">
        <v>150</v>
      </c>
      <c r="AI5">
        <v>4</v>
      </c>
      <c r="AJ5" t="s">
        <v>112</v>
      </c>
      <c r="AK5" t="s">
        <v>123</v>
      </c>
    </row>
    <row r="6" spans="1:37" ht="13.8" thickBot="1" x14ac:dyDescent="0.25">
      <c r="A6" s="33"/>
      <c r="B6" s="139"/>
      <c r="C6" s="129"/>
      <c r="D6" s="125"/>
      <c r="E6" s="125"/>
      <c r="F6" s="125"/>
      <c r="G6" s="125"/>
      <c r="H6" s="125"/>
      <c r="I6" s="125"/>
      <c r="J6" s="125"/>
      <c r="K6" s="125"/>
      <c r="L6" s="125"/>
      <c r="M6" s="125"/>
      <c r="N6" s="125"/>
      <c r="O6" s="125"/>
      <c r="P6" s="125"/>
      <c r="Q6" s="128"/>
      <c r="R6" s="128"/>
      <c r="S6" s="128"/>
      <c r="T6" s="128"/>
      <c r="U6" s="128"/>
      <c r="V6" s="132"/>
      <c r="W6" s="141"/>
      <c r="AA6" s="106" t="s">
        <v>103</v>
      </c>
      <c r="AB6" s="107"/>
      <c r="AC6" s="107"/>
      <c r="AD6" s="107"/>
      <c r="AE6" s="108"/>
      <c r="AF6" s="35"/>
      <c r="AG6" t="s">
        <v>106</v>
      </c>
      <c r="AI6">
        <v>5</v>
      </c>
      <c r="AJ6" t="s">
        <v>113</v>
      </c>
      <c r="AK6" t="s">
        <v>124</v>
      </c>
    </row>
    <row r="7" spans="1:37" x14ac:dyDescent="0.2">
      <c r="A7" s="33"/>
      <c r="B7" s="139">
        <v>3</v>
      </c>
      <c r="C7" s="129"/>
      <c r="D7" s="125"/>
      <c r="E7" s="125"/>
      <c r="F7" s="125"/>
      <c r="G7" s="125"/>
      <c r="H7" s="125"/>
      <c r="I7" s="125"/>
      <c r="J7" s="125"/>
      <c r="K7" s="125"/>
      <c r="L7" s="125"/>
      <c r="M7" s="125"/>
      <c r="N7" s="125"/>
      <c r="O7" s="125"/>
      <c r="P7" s="127"/>
      <c r="Q7" s="133"/>
      <c r="R7" s="134"/>
      <c r="S7" s="134"/>
      <c r="T7" s="134"/>
      <c r="U7" s="134"/>
      <c r="V7" s="138"/>
      <c r="W7" s="141"/>
      <c r="AA7" s="112"/>
      <c r="AB7" s="113"/>
      <c r="AC7" s="113"/>
      <c r="AD7" s="113"/>
      <c r="AE7" s="114"/>
      <c r="AF7" s="35"/>
      <c r="AG7" s="1" t="s">
        <v>164</v>
      </c>
      <c r="AI7">
        <v>6</v>
      </c>
      <c r="AJ7" t="s">
        <v>114</v>
      </c>
      <c r="AK7" t="s">
        <v>131</v>
      </c>
    </row>
    <row r="8" spans="1:37" ht="13.8" thickBot="1" x14ac:dyDescent="0.25">
      <c r="A8" s="33"/>
      <c r="B8" s="139"/>
      <c r="C8" s="129"/>
      <c r="D8" s="125"/>
      <c r="E8" s="125"/>
      <c r="F8" s="125"/>
      <c r="G8" s="125"/>
      <c r="H8" s="125"/>
      <c r="I8" s="128"/>
      <c r="J8" s="128"/>
      <c r="K8" s="128"/>
      <c r="L8" s="128"/>
      <c r="M8" s="128"/>
      <c r="N8" s="128"/>
      <c r="O8" s="128"/>
      <c r="P8" s="132"/>
      <c r="Q8" s="135"/>
      <c r="R8" s="125"/>
      <c r="S8" s="125"/>
      <c r="T8" s="125"/>
      <c r="U8" s="125"/>
      <c r="V8" s="127"/>
      <c r="W8" s="141"/>
      <c r="AA8" s="109"/>
      <c r="AB8" s="110"/>
      <c r="AC8" s="110"/>
      <c r="AD8" s="110"/>
      <c r="AE8" s="111"/>
      <c r="AF8" s="35"/>
      <c r="AG8" t="s">
        <v>108</v>
      </c>
      <c r="AI8">
        <v>7</v>
      </c>
      <c r="AJ8" t="s">
        <v>142</v>
      </c>
      <c r="AK8" t="s">
        <v>143</v>
      </c>
    </row>
    <row r="9" spans="1:37" ht="13.8" thickBot="1" x14ac:dyDescent="0.25">
      <c r="A9" s="33"/>
      <c r="B9" s="139">
        <v>4</v>
      </c>
      <c r="C9" s="129"/>
      <c r="D9" s="125"/>
      <c r="E9" s="125"/>
      <c r="F9" s="125"/>
      <c r="G9" s="125"/>
      <c r="H9" s="127"/>
      <c r="I9" s="133"/>
      <c r="J9" s="134"/>
      <c r="K9" s="134"/>
      <c r="L9" s="134"/>
      <c r="M9" s="134"/>
      <c r="N9" s="134"/>
      <c r="O9" s="134"/>
      <c r="P9" s="134"/>
      <c r="Q9" s="125"/>
      <c r="R9" s="125"/>
      <c r="S9" s="125"/>
      <c r="T9" s="125"/>
      <c r="U9" s="125"/>
      <c r="V9" s="127"/>
      <c r="W9" s="141"/>
      <c r="AA9" s="34"/>
      <c r="AB9" s="34"/>
      <c r="AC9" s="34"/>
      <c r="AD9" s="34"/>
      <c r="AE9" s="34"/>
      <c r="AF9" s="35"/>
      <c r="AG9" t="s">
        <v>151</v>
      </c>
      <c r="AI9">
        <v>8</v>
      </c>
      <c r="AJ9" t="s">
        <v>115</v>
      </c>
      <c r="AK9" t="s">
        <v>125</v>
      </c>
    </row>
    <row r="10" spans="1:37" ht="13.8" thickBot="1" x14ac:dyDescent="0.25">
      <c r="A10" s="33"/>
      <c r="B10" s="139"/>
      <c r="C10" s="130"/>
      <c r="D10" s="128"/>
      <c r="E10" s="128"/>
      <c r="F10" s="128"/>
      <c r="G10" s="128"/>
      <c r="H10" s="132"/>
      <c r="I10" s="135"/>
      <c r="J10" s="125"/>
      <c r="K10" s="125"/>
      <c r="L10" s="125"/>
      <c r="M10" s="125"/>
      <c r="N10" s="125"/>
      <c r="O10" s="125"/>
      <c r="P10" s="125"/>
      <c r="Q10" s="125"/>
      <c r="R10" s="125"/>
      <c r="S10" s="125"/>
      <c r="T10" s="125"/>
      <c r="U10" s="125"/>
      <c r="V10" s="127"/>
      <c r="W10" s="141"/>
      <c r="AA10" s="106" t="s">
        <v>104</v>
      </c>
      <c r="AB10" s="107"/>
      <c r="AC10" s="107"/>
      <c r="AD10" s="107"/>
      <c r="AE10" s="108"/>
      <c r="AF10" s="35"/>
      <c r="AG10" t="s">
        <v>152</v>
      </c>
      <c r="AI10">
        <v>9</v>
      </c>
      <c r="AJ10" t="s">
        <v>116</v>
      </c>
      <c r="AK10" t="s">
        <v>126</v>
      </c>
    </row>
    <row r="11" spans="1:37" x14ac:dyDescent="0.2">
      <c r="A11" s="33"/>
      <c r="B11" s="139">
        <v>5</v>
      </c>
      <c r="C11" s="137"/>
      <c r="D11" s="134"/>
      <c r="E11" s="134"/>
      <c r="F11" s="134"/>
      <c r="G11" s="134"/>
      <c r="H11" s="134"/>
      <c r="I11" s="125"/>
      <c r="J11" s="125"/>
      <c r="K11" s="125"/>
      <c r="L11" s="125"/>
      <c r="M11" s="125"/>
      <c r="N11" s="125"/>
      <c r="O11" s="125"/>
      <c r="P11" s="125"/>
      <c r="Q11" s="125"/>
      <c r="R11" s="125"/>
      <c r="S11" s="125"/>
      <c r="T11" s="125"/>
      <c r="U11" s="125"/>
      <c r="V11" s="127"/>
      <c r="W11" s="141"/>
      <c r="AA11" s="112"/>
      <c r="AB11" s="113"/>
      <c r="AC11" s="113"/>
      <c r="AD11" s="113"/>
      <c r="AE11" s="114"/>
      <c r="AF11" s="35"/>
      <c r="AG11" s="1" t="s">
        <v>172</v>
      </c>
      <c r="AI11">
        <v>10</v>
      </c>
      <c r="AJ11" t="s">
        <v>117</v>
      </c>
      <c r="AK11" t="s">
        <v>127</v>
      </c>
    </row>
    <row r="12" spans="1:37" ht="13.8" thickBot="1" x14ac:dyDescent="0.25">
      <c r="A12" s="33"/>
      <c r="B12" s="139"/>
      <c r="C12" s="129"/>
      <c r="D12" s="125"/>
      <c r="E12" s="125"/>
      <c r="F12" s="125"/>
      <c r="G12" s="125"/>
      <c r="H12" s="125"/>
      <c r="I12" s="125"/>
      <c r="J12" s="125"/>
      <c r="K12" s="125"/>
      <c r="L12" s="125"/>
      <c r="M12" s="125"/>
      <c r="N12" s="125"/>
      <c r="O12" s="125"/>
      <c r="P12" s="125"/>
      <c r="Q12" s="125"/>
      <c r="R12" s="125"/>
      <c r="S12" s="125"/>
      <c r="T12" s="125"/>
      <c r="U12" s="125"/>
      <c r="V12" s="127"/>
      <c r="W12" s="141"/>
      <c r="AA12" s="109"/>
      <c r="AB12" s="110"/>
      <c r="AC12" s="110"/>
      <c r="AD12" s="110"/>
      <c r="AE12" s="111"/>
      <c r="AF12" s="35"/>
      <c r="AG12" s="1" t="s">
        <v>169</v>
      </c>
      <c r="AI12">
        <v>11</v>
      </c>
      <c r="AJ12" t="s">
        <v>119</v>
      </c>
      <c r="AK12" t="s">
        <v>128</v>
      </c>
    </row>
    <row r="13" spans="1:37" ht="13.8" thickBot="1" x14ac:dyDescent="0.25">
      <c r="A13" s="33"/>
      <c r="B13" s="139">
        <v>6</v>
      </c>
      <c r="C13" s="129"/>
      <c r="D13" s="125"/>
      <c r="E13" s="125"/>
      <c r="F13" s="125"/>
      <c r="G13" s="125"/>
      <c r="H13" s="125"/>
      <c r="I13" s="125"/>
      <c r="J13" s="125"/>
      <c r="K13" s="125"/>
      <c r="L13" s="125"/>
      <c r="M13" s="125"/>
      <c r="N13" s="125"/>
      <c r="O13" s="125"/>
      <c r="P13" s="125"/>
      <c r="Q13" s="125"/>
      <c r="R13" s="125"/>
      <c r="S13" s="125"/>
      <c r="T13" s="125"/>
      <c r="U13" s="125"/>
      <c r="V13" s="127"/>
      <c r="W13" s="141"/>
      <c r="Y13" s="34"/>
      <c r="Z13" s="34"/>
      <c r="AF13" s="35"/>
      <c r="AG13" t="s">
        <v>153</v>
      </c>
      <c r="AI13">
        <v>12</v>
      </c>
      <c r="AJ13" t="s">
        <v>120</v>
      </c>
      <c r="AK13" t="s">
        <v>132</v>
      </c>
    </row>
    <row r="14" spans="1:37" ht="13.8" thickBot="1" x14ac:dyDescent="0.25">
      <c r="A14" s="33"/>
      <c r="B14" s="139"/>
      <c r="C14" s="130"/>
      <c r="D14" s="128"/>
      <c r="E14" s="128"/>
      <c r="F14" s="128"/>
      <c r="G14" s="128"/>
      <c r="H14" s="128"/>
      <c r="I14" s="128"/>
      <c r="J14" s="128"/>
      <c r="K14" s="128"/>
      <c r="L14" s="128"/>
      <c r="M14" s="128"/>
      <c r="N14" s="128"/>
      <c r="O14" s="128"/>
      <c r="P14" s="128"/>
      <c r="Q14" s="128"/>
      <c r="R14" s="128"/>
      <c r="S14" s="128"/>
      <c r="T14" s="128"/>
      <c r="U14" s="128"/>
      <c r="V14" s="132"/>
      <c r="W14" s="141"/>
      <c r="Y14" s="34"/>
      <c r="Z14" s="34"/>
      <c r="AA14" s="106" t="s">
        <v>144</v>
      </c>
      <c r="AB14" s="107"/>
      <c r="AC14" s="107"/>
      <c r="AD14" s="107"/>
      <c r="AE14" s="108"/>
      <c r="AF14" s="35"/>
      <c r="AG14" t="s">
        <v>171</v>
      </c>
      <c r="AI14">
        <v>13</v>
      </c>
      <c r="AJ14" t="s">
        <v>129</v>
      </c>
      <c r="AK14" t="s">
        <v>133</v>
      </c>
    </row>
    <row r="15" spans="1:37" ht="13.8" thickBot="1" x14ac:dyDescent="0.25">
      <c r="A15" s="33"/>
      <c r="B15" s="23"/>
      <c r="C15" s="140"/>
      <c r="D15" s="140"/>
      <c r="E15" s="140"/>
      <c r="F15" s="140"/>
      <c r="G15" s="140"/>
      <c r="H15" s="140"/>
      <c r="I15" s="140"/>
      <c r="J15" s="140"/>
      <c r="K15" s="140"/>
      <c r="L15" s="140"/>
      <c r="M15" s="140"/>
      <c r="N15" s="140"/>
      <c r="O15" s="140"/>
      <c r="P15" s="140"/>
      <c r="Q15" s="140"/>
      <c r="R15" s="140"/>
      <c r="S15" s="140"/>
      <c r="T15" s="140"/>
      <c r="U15" s="140"/>
      <c r="V15" s="140"/>
      <c r="W15" s="24"/>
      <c r="Y15" s="34"/>
      <c r="Z15" s="34"/>
      <c r="AA15" s="112"/>
      <c r="AB15" s="113"/>
      <c r="AC15" s="113"/>
      <c r="AD15" s="113"/>
      <c r="AE15" s="114"/>
      <c r="AF15" s="35"/>
      <c r="AG15" s="1" t="s">
        <v>178</v>
      </c>
      <c r="AI15">
        <v>14</v>
      </c>
      <c r="AJ15" t="s">
        <v>145</v>
      </c>
      <c r="AK15" t="s">
        <v>146</v>
      </c>
    </row>
    <row r="16" spans="1:37" ht="13.8" thickBot="1" x14ac:dyDescent="0.25">
      <c r="A16" s="33"/>
      <c r="B16" s="34"/>
      <c r="Y16" s="34"/>
      <c r="Z16" s="34"/>
      <c r="AA16" s="109"/>
      <c r="AB16" s="110"/>
      <c r="AC16" s="110"/>
      <c r="AD16" s="110"/>
      <c r="AE16" s="111"/>
      <c r="AF16" s="35"/>
      <c r="AG16" t="s">
        <v>154</v>
      </c>
      <c r="AI16">
        <v>15</v>
      </c>
      <c r="AJ16" t="s">
        <v>130</v>
      </c>
      <c r="AK16" t="s">
        <v>137</v>
      </c>
    </row>
    <row r="17" spans="1:37" ht="13.8" thickBot="1" x14ac:dyDescent="0.25">
      <c r="AA17" s="34"/>
      <c r="AB17" s="34"/>
      <c r="AC17" s="34"/>
      <c r="AD17" s="34"/>
      <c r="AE17" s="34"/>
      <c r="AF17" s="35"/>
      <c r="AG17" s="1" t="s">
        <v>165</v>
      </c>
      <c r="AI17">
        <v>16</v>
      </c>
      <c r="AJ17" t="s">
        <v>134</v>
      </c>
      <c r="AK17" t="s">
        <v>138</v>
      </c>
    </row>
    <row r="18" spans="1:37" ht="13.8" thickBot="1" x14ac:dyDescent="0.25">
      <c r="W18" s="106"/>
      <c r="X18" s="107"/>
      <c r="Y18" s="107"/>
      <c r="Z18" s="107"/>
      <c r="AA18" s="107"/>
      <c r="AB18" s="108"/>
      <c r="AF18" s="35"/>
      <c r="AG18" t="s">
        <v>166</v>
      </c>
      <c r="AI18">
        <v>17</v>
      </c>
      <c r="AJ18" t="s">
        <v>135</v>
      </c>
      <c r="AK18" t="s">
        <v>140</v>
      </c>
    </row>
    <row r="19" spans="1:37" x14ac:dyDescent="0.2">
      <c r="A19" s="33"/>
      <c r="B19" s="115" t="s">
        <v>105</v>
      </c>
      <c r="C19" s="116"/>
      <c r="D19" s="116"/>
      <c r="E19" s="116"/>
      <c r="F19" s="116"/>
      <c r="G19" s="116"/>
      <c r="H19" s="117"/>
      <c r="I19" s="106"/>
      <c r="J19" s="107"/>
      <c r="K19" s="107"/>
      <c r="L19" s="107"/>
      <c r="M19" s="107"/>
      <c r="N19" s="107"/>
      <c r="O19" s="107"/>
      <c r="P19" s="107"/>
      <c r="Q19" s="107"/>
      <c r="R19" s="107"/>
      <c r="S19" s="107"/>
      <c r="T19" s="107"/>
      <c r="U19" s="107"/>
      <c r="V19" s="107"/>
      <c r="W19" s="112"/>
      <c r="X19" s="113"/>
      <c r="Y19" s="113"/>
      <c r="Z19" s="113"/>
      <c r="AA19" s="113"/>
      <c r="AB19" s="114"/>
      <c r="AF19" s="35"/>
      <c r="AG19" t="s">
        <v>167</v>
      </c>
      <c r="AI19">
        <v>18</v>
      </c>
      <c r="AJ19" t="s">
        <v>136</v>
      </c>
      <c r="AK19" t="s">
        <v>139</v>
      </c>
    </row>
    <row r="20" spans="1:37" ht="13.2" customHeight="1" x14ac:dyDescent="0.2">
      <c r="B20" s="118"/>
      <c r="C20" s="119"/>
      <c r="D20" s="119"/>
      <c r="E20" s="119"/>
      <c r="F20" s="119"/>
      <c r="G20" s="119"/>
      <c r="H20" s="120"/>
      <c r="I20" s="112"/>
      <c r="J20" s="113"/>
      <c r="K20" s="113"/>
      <c r="L20" s="113"/>
      <c r="M20" s="113"/>
      <c r="N20" s="113"/>
      <c r="O20" s="113"/>
      <c r="P20" s="113"/>
      <c r="Q20" s="113"/>
      <c r="R20" s="113"/>
      <c r="S20" s="113"/>
      <c r="T20" s="113"/>
      <c r="U20" s="113"/>
      <c r="V20" s="113"/>
      <c r="W20" s="112"/>
      <c r="X20" s="113"/>
      <c r="Y20" s="113"/>
      <c r="Z20" s="113"/>
      <c r="AA20" s="113"/>
      <c r="AB20" s="114"/>
      <c r="AF20" s="35"/>
      <c r="AG20" t="s">
        <v>152</v>
      </c>
    </row>
    <row r="21" spans="1:37" ht="13.2" customHeight="1" x14ac:dyDescent="0.2">
      <c r="B21" s="118"/>
      <c r="C21" s="119"/>
      <c r="D21" s="119"/>
      <c r="E21" s="119"/>
      <c r="F21" s="119"/>
      <c r="G21" s="119"/>
      <c r="H21" s="120"/>
      <c r="I21" s="112"/>
      <c r="J21" s="113"/>
      <c r="K21" s="113"/>
      <c r="L21" s="113"/>
      <c r="M21" s="113"/>
      <c r="N21" s="113"/>
      <c r="O21" s="113"/>
      <c r="P21" s="113"/>
      <c r="Q21" s="113"/>
      <c r="R21" s="113"/>
      <c r="S21" s="113"/>
      <c r="T21" s="113"/>
      <c r="U21" s="113"/>
      <c r="V21" s="113"/>
      <c r="W21" s="112"/>
      <c r="X21" s="113"/>
      <c r="Y21" s="113"/>
      <c r="Z21" s="113"/>
      <c r="AA21" s="113"/>
      <c r="AB21" s="114"/>
      <c r="AF21" s="35"/>
      <c r="AG21" s="1" t="s">
        <v>168</v>
      </c>
      <c r="AJ21" s="34"/>
    </row>
    <row r="22" spans="1:37" ht="13.8" customHeight="1" thickBot="1" x14ac:dyDescent="0.25">
      <c r="B22" s="121"/>
      <c r="C22" s="122"/>
      <c r="D22" s="122"/>
      <c r="E22" s="122"/>
      <c r="F22" s="122"/>
      <c r="G22" s="122"/>
      <c r="H22" s="123"/>
      <c r="I22" s="109"/>
      <c r="J22" s="110"/>
      <c r="K22" s="110"/>
      <c r="L22" s="110"/>
      <c r="M22" s="110"/>
      <c r="N22" s="110"/>
      <c r="O22" s="110"/>
      <c r="P22" s="110"/>
      <c r="Q22" s="110"/>
      <c r="R22" s="110"/>
      <c r="S22" s="110"/>
      <c r="T22" s="110"/>
      <c r="U22" s="110"/>
      <c r="V22" s="110"/>
      <c r="W22" s="112"/>
      <c r="X22" s="113"/>
      <c r="Y22" s="113"/>
      <c r="Z22" s="113"/>
      <c r="AA22" s="113"/>
      <c r="AB22" s="114"/>
      <c r="AF22" s="35"/>
      <c r="AG22" s="1" t="s">
        <v>169</v>
      </c>
      <c r="AJ22" s="34"/>
    </row>
    <row r="23" spans="1:37" ht="13.8" thickBot="1" x14ac:dyDescent="0.25">
      <c r="A23" s="33"/>
      <c r="B23" s="34"/>
      <c r="C23" s="34"/>
      <c r="D23" s="34"/>
      <c r="W23" s="109"/>
      <c r="X23" s="110"/>
      <c r="Y23" s="110"/>
      <c r="Z23" s="110"/>
      <c r="AA23" s="110"/>
      <c r="AB23" s="111"/>
      <c r="AF23" s="35"/>
      <c r="AG23" t="s">
        <v>170</v>
      </c>
      <c r="AJ23" t="s">
        <v>162</v>
      </c>
    </row>
    <row r="24" spans="1:37" ht="13.8" thickBot="1" x14ac:dyDescent="0.25">
      <c r="A24" s="36"/>
      <c r="B24" s="37"/>
      <c r="C24" s="37"/>
      <c r="D24" s="37"/>
      <c r="E24" s="37"/>
      <c r="F24" s="37"/>
      <c r="G24" s="37"/>
      <c r="H24" s="37"/>
      <c r="I24" s="37"/>
      <c r="J24" s="37"/>
      <c r="K24" s="37"/>
      <c r="L24" s="37"/>
      <c r="M24" s="37"/>
      <c r="N24" s="37"/>
      <c r="O24" s="37"/>
      <c r="P24" s="37"/>
      <c r="Q24" s="37"/>
      <c r="R24" s="37"/>
      <c r="S24" s="37"/>
      <c r="T24" s="37"/>
      <c r="U24" s="37"/>
      <c r="V24" s="37"/>
      <c r="W24" s="37"/>
      <c r="X24" s="37"/>
      <c r="Y24" s="37"/>
      <c r="Z24" s="37"/>
      <c r="AA24" s="37"/>
      <c r="AB24" s="37"/>
      <c r="AC24" s="37"/>
      <c r="AD24" s="37"/>
      <c r="AE24" s="37"/>
      <c r="AF24" s="38"/>
      <c r="AG24" t="s">
        <v>171</v>
      </c>
    </row>
    <row r="25" spans="1:37" x14ac:dyDescent="0.2">
      <c r="A25" s="30"/>
      <c r="B25" s="31"/>
      <c r="C25" s="31"/>
      <c r="D25" s="31"/>
      <c r="E25" s="31"/>
      <c r="F25" s="31"/>
      <c r="G25" s="31"/>
      <c r="H25" s="31"/>
      <c r="I25" s="31"/>
      <c r="J25" s="31"/>
      <c r="K25" s="31"/>
      <c r="L25" s="31"/>
      <c r="M25" s="31"/>
      <c r="N25" s="31"/>
      <c r="O25" s="31"/>
      <c r="P25" s="77"/>
      <c r="Q25" s="31"/>
      <c r="R25" s="31"/>
      <c r="S25" s="31"/>
      <c r="T25" s="31"/>
      <c r="U25" s="31"/>
      <c r="V25" s="31"/>
      <c r="W25" s="31"/>
      <c r="X25" s="31"/>
      <c r="Y25" s="31"/>
      <c r="Z25" s="31"/>
      <c r="AA25" s="31"/>
      <c r="AB25" s="31"/>
      <c r="AC25" s="31"/>
      <c r="AD25" s="31"/>
      <c r="AE25" s="31"/>
      <c r="AF25" s="32"/>
      <c r="AG25" s="1" t="s">
        <v>177</v>
      </c>
      <c r="AJ25" s="83">
        <v>590365</v>
      </c>
    </row>
    <row r="26" spans="1:37" x14ac:dyDescent="0.2">
      <c r="A26" s="33"/>
      <c r="B26" s="34"/>
      <c r="C26" s="34"/>
      <c r="D26" s="34"/>
      <c r="E26" s="34"/>
      <c r="F26" s="34"/>
      <c r="G26" s="34"/>
      <c r="H26" s="34"/>
      <c r="I26" s="34"/>
      <c r="J26" s="34"/>
      <c r="K26" s="34"/>
      <c r="L26" s="34"/>
      <c r="M26" s="34"/>
      <c r="N26" s="34"/>
      <c r="O26" s="34"/>
      <c r="P26" s="78"/>
      <c r="Q26" s="34"/>
      <c r="R26" s="34"/>
      <c r="S26" s="34"/>
      <c r="T26" s="34"/>
      <c r="U26" s="34"/>
      <c r="V26" s="34"/>
      <c r="W26" s="34"/>
      <c r="X26" s="34"/>
      <c r="Y26" s="34"/>
      <c r="Z26" s="34"/>
      <c r="AA26" s="34"/>
      <c r="AB26" s="34"/>
      <c r="AC26" s="34"/>
      <c r="AD26" s="34"/>
      <c r="AE26" s="34"/>
      <c r="AF26" s="35"/>
      <c r="AG26" t="s">
        <v>154</v>
      </c>
      <c r="AJ26" s="83">
        <v>610425</v>
      </c>
    </row>
    <row r="27" spans="1:37" x14ac:dyDescent="0.2">
      <c r="A27" s="33"/>
      <c r="B27" s="34"/>
      <c r="C27" s="34"/>
      <c r="D27" s="34"/>
      <c r="E27" s="34"/>
      <c r="F27" s="34"/>
      <c r="G27" s="34"/>
      <c r="H27" s="34"/>
      <c r="I27" s="34"/>
      <c r="J27" s="34"/>
      <c r="K27" s="34"/>
      <c r="L27" s="34"/>
      <c r="M27" s="34"/>
      <c r="N27" s="34"/>
      <c r="O27" s="34"/>
      <c r="P27" s="78"/>
      <c r="Q27" s="34"/>
      <c r="R27" s="34"/>
      <c r="S27" s="34"/>
      <c r="T27" s="34"/>
      <c r="U27" s="34"/>
      <c r="V27" s="34"/>
      <c r="W27" s="34"/>
      <c r="X27" s="34"/>
      <c r="Y27" s="34"/>
      <c r="Z27" s="34"/>
      <c r="AA27" s="34"/>
      <c r="AB27" s="34"/>
      <c r="AC27" s="34"/>
      <c r="AD27" s="34"/>
      <c r="AE27" s="34"/>
      <c r="AF27" s="35"/>
      <c r="AG27" t="s">
        <v>173</v>
      </c>
    </row>
    <row r="28" spans="1:37" ht="13.8" thickBot="1" x14ac:dyDescent="0.25">
      <c r="A28" s="33"/>
      <c r="B28" s="34"/>
      <c r="C28" s="34"/>
      <c r="D28" s="34"/>
      <c r="E28" s="34"/>
      <c r="F28" s="34"/>
      <c r="G28" s="34"/>
      <c r="H28" s="34"/>
      <c r="I28" s="34"/>
      <c r="J28" s="34"/>
      <c r="K28" s="34"/>
      <c r="L28" s="34"/>
      <c r="M28" s="34"/>
      <c r="N28" s="34"/>
      <c r="O28" s="34"/>
      <c r="P28" s="78"/>
      <c r="Q28" s="34"/>
      <c r="R28" s="34"/>
      <c r="S28" s="34"/>
      <c r="T28" s="34"/>
      <c r="U28" s="34"/>
      <c r="V28" s="34"/>
      <c r="W28" s="34"/>
      <c r="X28" s="34"/>
      <c r="Y28" s="34"/>
      <c r="Z28" s="34"/>
      <c r="AA28" s="34"/>
      <c r="AB28" s="34"/>
      <c r="AC28" s="34"/>
      <c r="AD28" s="34"/>
      <c r="AE28" s="34"/>
      <c r="AF28" s="35"/>
      <c r="AG28" t="s">
        <v>174</v>
      </c>
    </row>
    <row r="29" spans="1:37" x14ac:dyDescent="0.2">
      <c r="A29" s="33"/>
      <c r="B29" s="34"/>
      <c r="C29" s="34"/>
      <c r="D29" s="34"/>
      <c r="E29" s="34"/>
      <c r="F29" s="34"/>
      <c r="G29" s="34"/>
      <c r="H29" s="34"/>
      <c r="I29" s="34"/>
      <c r="J29" s="30"/>
      <c r="K29" s="31"/>
      <c r="L29" s="31"/>
      <c r="M29" s="31"/>
      <c r="N29" s="31"/>
      <c r="O29" s="31"/>
      <c r="P29" s="31"/>
      <c r="Q29" s="31"/>
      <c r="R29" s="31"/>
      <c r="S29" s="31"/>
      <c r="T29" s="31"/>
      <c r="U29" s="31"/>
      <c r="V29" s="31"/>
      <c r="W29" s="32"/>
      <c r="X29" s="34"/>
      <c r="Y29" s="34"/>
      <c r="Z29" s="34"/>
      <c r="AA29" s="34"/>
      <c r="AB29" s="34"/>
      <c r="AC29" s="34"/>
      <c r="AD29" s="34"/>
      <c r="AE29" s="34"/>
      <c r="AF29" s="35"/>
      <c r="AG29" t="s">
        <v>175</v>
      </c>
    </row>
    <row r="30" spans="1:37" x14ac:dyDescent="0.2">
      <c r="A30" s="33"/>
      <c r="B30" s="34"/>
      <c r="C30" s="34"/>
      <c r="D30" s="34"/>
      <c r="E30" s="34"/>
      <c r="F30" s="34"/>
      <c r="G30" s="34"/>
      <c r="H30" s="34"/>
      <c r="I30" s="34"/>
      <c r="J30" s="33"/>
      <c r="K30" s="34"/>
      <c r="L30" s="136" t="s">
        <v>295</v>
      </c>
      <c r="M30" s="136"/>
      <c r="N30" s="136"/>
      <c r="O30" s="136"/>
      <c r="P30" s="136"/>
      <c r="Q30" s="136"/>
      <c r="R30" s="136"/>
      <c r="S30" s="136"/>
      <c r="T30" s="136"/>
      <c r="U30" s="136"/>
      <c r="V30" s="34"/>
      <c r="W30" s="35"/>
      <c r="X30" s="34"/>
      <c r="Y30" s="34"/>
      <c r="Z30" s="34"/>
      <c r="AA30" s="34"/>
      <c r="AB30" s="34"/>
      <c r="AC30" s="34"/>
      <c r="AD30" s="34"/>
      <c r="AE30" s="34"/>
      <c r="AF30" s="35"/>
      <c r="AG30" t="s">
        <v>176</v>
      </c>
    </row>
    <row r="31" spans="1:37" x14ac:dyDescent="0.2">
      <c r="A31" s="33"/>
      <c r="B31" s="34"/>
      <c r="C31" s="34"/>
      <c r="D31" s="34"/>
      <c r="E31" s="34"/>
      <c r="F31" s="34"/>
      <c r="G31" s="34"/>
      <c r="H31" s="34"/>
      <c r="I31" s="34"/>
      <c r="J31" s="33"/>
      <c r="K31" s="34"/>
      <c r="L31" s="136"/>
      <c r="M31" s="136"/>
      <c r="N31" s="136"/>
      <c r="O31" s="136"/>
      <c r="P31" s="136"/>
      <c r="Q31" s="136"/>
      <c r="R31" s="136"/>
      <c r="S31" s="136"/>
      <c r="T31" s="136"/>
      <c r="U31" s="136"/>
      <c r="V31" s="34"/>
      <c r="W31" s="35"/>
      <c r="X31" s="34"/>
      <c r="Y31" s="34"/>
      <c r="Z31" s="34"/>
      <c r="AA31" s="34"/>
      <c r="AB31" s="34"/>
      <c r="AC31" s="34"/>
      <c r="AD31" s="34"/>
      <c r="AE31" s="34"/>
      <c r="AF31" s="35"/>
    </row>
    <row r="32" spans="1:37" x14ac:dyDescent="0.2">
      <c r="A32" s="33"/>
      <c r="B32" s="34"/>
      <c r="C32" s="34"/>
      <c r="D32" s="34"/>
      <c r="E32" s="34"/>
      <c r="F32" s="34"/>
      <c r="G32" s="34"/>
      <c r="H32" s="34"/>
      <c r="I32" s="34"/>
      <c r="J32" s="33"/>
      <c r="K32" s="34"/>
      <c r="L32" s="136"/>
      <c r="M32" s="136"/>
      <c r="N32" s="136"/>
      <c r="O32" s="136"/>
      <c r="P32" s="136"/>
      <c r="Q32" s="136"/>
      <c r="R32" s="136"/>
      <c r="S32" s="136"/>
      <c r="T32" s="136"/>
      <c r="U32" s="136"/>
      <c r="V32" s="34"/>
      <c r="W32" s="35"/>
      <c r="X32" s="34"/>
      <c r="Y32" s="34"/>
      <c r="Z32" s="34"/>
      <c r="AA32" s="34"/>
      <c r="AB32" s="34"/>
      <c r="AC32" s="34"/>
      <c r="AD32" s="34"/>
      <c r="AE32" s="34"/>
      <c r="AF32" s="35"/>
      <c r="AG32" t="s">
        <v>293</v>
      </c>
    </row>
    <row r="33" spans="1:33" x14ac:dyDescent="0.2">
      <c r="A33" s="33"/>
      <c r="B33" s="34"/>
      <c r="C33" s="34"/>
      <c r="D33" s="34"/>
      <c r="E33" s="34"/>
      <c r="F33" s="34"/>
      <c r="G33" s="34"/>
      <c r="H33" s="34"/>
      <c r="I33" s="34"/>
      <c r="J33" s="33"/>
      <c r="K33" s="34"/>
      <c r="L33" s="34"/>
      <c r="M33" s="34"/>
      <c r="N33" s="34"/>
      <c r="O33" s="34"/>
      <c r="P33" s="34"/>
      <c r="Q33" s="34"/>
      <c r="R33" s="34"/>
      <c r="S33" s="34"/>
      <c r="T33" s="34"/>
      <c r="U33" s="34"/>
      <c r="V33" s="34"/>
      <c r="W33" s="35"/>
      <c r="X33" s="34"/>
      <c r="Y33" s="34"/>
      <c r="Z33" s="34"/>
      <c r="AA33" s="34"/>
      <c r="AB33" s="34"/>
      <c r="AC33" s="34"/>
      <c r="AD33" s="34"/>
      <c r="AE33" s="34"/>
      <c r="AF33" s="35"/>
      <c r="AG33" t="s">
        <v>294</v>
      </c>
    </row>
    <row r="34" spans="1:33" ht="13.8" thickBot="1" x14ac:dyDescent="0.25">
      <c r="A34" s="33"/>
      <c r="B34" s="34"/>
      <c r="C34" s="34"/>
      <c r="D34" s="34"/>
      <c r="E34" s="34"/>
      <c r="F34" s="34"/>
      <c r="G34" s="34"/>
      <c r="H34" s="34"/>
      <c r="I34" s="34"/>
      <c r="J34" s="33"/>
      <c r="K34" s="34"/>
      <c r="V34" s="34"/>
      <c r="W34" s="35"/>
      <c r="X34" s="34"/>
      <c r="Y34" s="34"/>
      <c r="Z34" s="34"/>
      <c r="AA34" s="34"/>
      <c r="AB34" s="34"/>
      <c r="AC34" s="34"/>
      <c r="AD34" s="34"/>
      <c r="AE34" s="34"/>
      <c r="AF34" s="35"/>
      <c r="AG34" t="s">
        <v>302</v>
      </c>
    </row>
    <row r="35" spans="1:33" x14ac:dyDescent="0.2">
      <c r="A35" s="33"/>
      <c r="B35" s="34"/>
      <c r="C35" s="34"/>
      <c r="D35" s="34"/>
      <c r="E35" s="34"/>
      <c r="F35" s="34"/>
      <c r="G35" s="34"/>
      <c r="H35" s="34"/>
      <c r="I35" s="34"/>
      <c r="J35" s="33"/>
      <c r="K35" s="34"/>
      <c r="L35" s="106" t="s">
        <v>296</v>
      </c>
      <c r="M35" s="107"/>
      <c r="N35" s="107"/>
      <c r="O35" s="107"/>
      <c r="P35" s="107"/>
      <c r="Q35" s="107"/>
      <c r="R35" s="107"/>
      <c r="S35" s="107"/>
      <c r="T35" s="107"/>
      <c r="U35" s="108"/>
      <c r="V35" s="34"/>
      <c r="W35" s="35"/>
      <c r="X35" s="34"/>
      <c r="Y35" s="34"/>
      <c r="Z35" s="34"/>
      <c r="AA35" s="34"/>
      <c r="AB35" s="34"/>
      <c r="AC35" s="34"/>
      <c r="AD35" s="34"/>
      <c r="AE35" s="34"/>
      <c r="AF35" s="35"/>
      <c r="AG35" t="s">
        <v>299</v>
      </c>
    </row>
    <row r="36" spans="1:33" ht="13.8" thickBot="1" x14ac:dyDescent="0.25">
      <c r="A36" s="80"/>
      <c r="B36" s="81"/>
      <c r="C36" s="81"/>
      <c r="D36" s="81"/>
      <c r="E36" s="81"/>
      <c r="F36" s="81"/>
      <c r="G36" s="81"/>
      <c r="H36" s="81"/>
      <c r="I36" s="81"/>
      <c r="J36" s="33"/>
      <c r="K36" s="34"/>
      <c r="L36" s="109"/>
      <c r="M36" s="110"/>
      <c r="N36" s="110"/>
      <c r="O36" s="110"/>
      <c r="P36" s="110"/>
      <c r="Q36" s="110"/>
      <c r="R36" s="110"/>
      <c r="S36" s="110"/>
      <c r="T36" s="110"/>
      <c r="U36" s="111"/>
      <c r="V36" s="34"/>
      <c r="W36" s="35"/>
      <c r="X36" s="81"/>
      <c r="Y36" s="81"/>
      <c r="Z36" s="81"/>
      <c r="AA36" s="81"/>
      <c r="AB36" s="81"/>
      <c r="AC36" s="81"/>
      <c r="AD36" s="81"/>
      <c r="AE36" s="81"/>
      <c r="AF36" s="82"/>
      <c r="AG36" t="s">
        <v>300</v>
      </c>
    </row>
    <row r="37" spans="1:33" ht="13.8" thickBot="1" x14ac:dyDescent="0.25">
      <c r="A37" s="33"/>
      <c r="B37" s="34"/>
      <c r="C37" s="34"/>
      <c r="D37" s="34"/>
      <c r="E37" s="34"/>
      <c r="F37" s="34"/>
      <c r="G37" s="34"/>
      <c r="H37" s="34"/>
      <c r="I37" s="34"/>
      <c r="J37" s="33"/>
      <c r="K37" s="34"/>
      <c r="L37" s="34"/>
      <c r="M37" s="34"/>
      <c r="N37" s="34"/>
      <c r="O37" s="34"/>
      <c r="P37" s="34"/>
      <c r="Q37" s="34"/>
      <c r="R37" s="34"/>
      <c r="S37" s="34"/>
      <c r="T37" s="34"/>
      <c r="U37" s="34"/>
      <c r="V37" s="34"/>
      <c r="W37" s="35"/>
      <c r="X37" s="34"/>
      <c r="Y37" s="34"/>
      <c r="Z37" s="34"/>
      <c r="AA37" s="34"/>
      <c r="AB37" s="34"/>
      <c r="AC37" s="34"/>
      <c r="AD37" s="34"/>
      <c r="AE37" s="34"/>
      <c r="AF37" s="35"/>
      <c r="AG37" t="s">
        <v>301</v>
      </c>
    </row>
    <row r="38" spans="1:33" x14ac:dyDescent="0.2">
      <c r="A38" s="33"/>
      <c r="B38" s="34"/>
      <c r="C38" s="34"/>
      <c r="D38" s="34"/>
      <c r="E38" s="34"/>
      <c r="F38" s="34"/>
      <c r="G38" s="34"/>
      <c r="H38" s="34"/>
      <c r="I38" s="34"/>
      <c r="J38" s="33"/>
      <c r="K38" s="34"/>
      <c r="L38" s="106" t="s">
        <v>297</v>
      </c>
      <c r="M38" s="107"/>
      <c r="N38" s="107"/>
      <c r="O38" s="107"/>
      <c r="P38" s="107"/>
      <c r="Q38" s="107"/>
      <c r="R38" s="107"/>
      <c r="S38" s="107"/>
      <c r="T38" s="107"/>
      <c r="U38" s="108"/>
      <c r="V38" s="34"/>
      <c r="W38" s="35"/>
      <c r="X38" s="34"/>
      <c r="Y38" s="34"/>
      <c r="Z38" s="34"/>
      <c r="AA38" s="34"/>
      <c r="AB38" s="34"/>
      <c r="AC38" s="34"/>
      <c r="AD38" s="34"/>
      <c r="AE38" s="34"/>
      <c r="AF38" s="35"/>
    </row>
    <row r="39" spans="1:33" ht="13.8" thickBot="1" x14ac:dyDescent="0.25">
      <c r="A39" s="33"/>
      <c r="B39" s="34"/>
      <c r="C39" s="34"/>
      <c r="D39" s="34"/>
      <c r="E39" s="34"/>
      <c r="F39" s="34"/>
      <c r="G39" s="34"/>
      <c r="H39" s="34"/>
      <c r="I39" s="34"/>
      <c r="J39" s="33"/>
      <c r="K39" s="34"/>
      <c r="L39" s="109"/>
      <c r="M39" s="110"/>
      <c r="N39" s="110"/>
      <c r="O39" s="110"/>
      <c r="P39" s="110"/>
      <c r="Q39" s="110"/>
      <c r="R39" s="110"/>
      <c r="S39" s="110"/>
      <c r="T39" s="110"/>
      <c r="U39" s="111"/>
      <c r="V39" s="34"/>
      <c r="W39" s="35"/>
      <c r="X39" s="34"/>
      <c r="Y39" s="34"/>
      <c r="Z39" s="34"/>
      <c r="AA39" s="34"/>
      <c r="AB39" s="34"/>
      <c r="AC39" s="34"/>
      <c r="AD39" s="34"/>
      <c r="AE39" s="34"/>
      <c r="AF39" s="35"/>
    </row>
    <row r="40" spans="1:33" ht="13.8" thickBot="1" x14ac:dyDescent="0.25">
      <c r="A40" s="33"/>
      <c r="B40" s="34"/>
      <c r="C40" s="34"/>
      <c r="D40" s="34"/>
      <c r="E40" s="34"/>
      <c r="F40" s="34"/>
      <c r="G40" s="34"/>
      <c r="H40" s="34"/>
      <c r="I40" s="34"/>
      <c r="J40" s="33"/>
      <c r="K40" s="34"/>
      <c r="L40" s="34"/>
      <c r="M40" s="34"/>
      <c r="N40" s="34"/>
      <c r="O40" s="34"/>
      <c r="P40" s="34"/>
      <c r="Q40" s="34"/>
      <c r="R40" s="34"/>
      <c r="S40" s="34"/>
      <c r="T40" s="34"/>
      <c r="U40" s="34"/>
      <c r="V40" s="34"/>
      <c r="W40" s="35"/>
      <c r="X40" s="34"/>
      <c r="Y40" s="34"/>
      <c r="Z40" s="34"/>
      <c r="AA40" s="34"/>
      <c r="AB40" s="34"/>
      <c r="AC40" s="34"/>
      <c r="AD40" s="34"/>
      <c r="AE40" s="34"/>
      <c r="AF40" s="35"/>
    </row>
    <row r="41" spans="1:33" x14ac:dyDescent="0.2">
      <c r="A41" s="33"/>
      <c r="B41" s="34"/>
      <c r="C41" s="34"/>
      <c r="D41" s="34"/>
      <c r="E41" s="34"/>
      <c r="F41" s="34"/>
      <c r="G41" s="34"/>
      <c r="H41" s="34"/>
      <c r="I41" s="34"/>
      <c r="J41" s="33"/>
      <c r="K41" s="34"/>
      <c r="L41" s="106" t="s">
        <v>298</v>
      </c>
      <c r="M41" s="107"/>
      <c r="N41" s="107"/>
      <c r="O41" s="107"/>
      <c r="P41" s="107"/>
      <c r="Q41" s="107"/>
      <c r="R41" s="107"/>
      <c r="S41" s="107"/>
      <c r="T41" s="107"/>
      <c r="U41" s="108"/>
      <c r="V41" s="34"/>
      <c r="W41" s="35"/>
      <c r="X41" s="34"/>
      <c r="Y41" s="34"/>
      <c r="Z41" s="34"/>
      <c r="AA41" s="34"/>
      <c r="AB41" s="34"/>
      <c r="AC41" s="34"/>
      <c r="AD41" s="34"/>
      <c r="AE41" s="34"/>
      <c r="AF41" s="35"/>
    </row>
    <row r="42" spans="1:33" ht="13.8" thickBot="1" x14ac:dyDescent="0.25">
      <c r="A42" s="33"/>
      <c r="B42" s="34"/>
      <c r="C42" s="34"/>
      <c r="D42" s="34"/>
      <c r="E42" s="34"/>
      <c r="F42" s="34"/>
      <c r="G42" s="34"/>
      <c r="H42" s="34"/>
      <c r="I42" s="34"/>
      <c r="J42" s="33"/>
      <c r="K42" s="34"/>
      <c r="L42" s="109"/>
      <c r="M42" s="110"/>
      <c r="N42" s="110"/>
      <c r="O42" s="110"/>
      <c r="P42" s="110"/>
      <c r="Q42" s="110"/>
      <c r="R42" s="110"/>
      <c r="S42" s="110"/>
      <c r="T42" s="110"/>
      <c r="U42" s="111"/>
      <c r="V42" s="34"/>
      <c r="W42" s="35"/>
      <c r="X42" s="34"/>
      <c r="Y42" s="34"/>
      <c r="Z42" s="34"/>
      <c r="AA42" s="34"/>
      <c r="AB42" s="34"/>
      <c r="AC42" s="34"/>
      <c r="AD42" s="34"/>
      <c r="AE42" s="34"/>
      <c r="AF42" s="35"/>
    </row>
    <row r="43" spans="1:33" x14ac:dyDescent="0.2">
      <c r="A43" s="33"/>
      <c r="B43" s="34"/>
      <c r="C43" s="34"/>
      <c r="D43" s="34"/>
      <c r="E43" s="34"/>
      <c r="F43" s="34"/>
      <c r="G43" s="34"/>
      <c r="H43" s="34"/>
      <c r="I43" s="34"/>
      <c r="J43" s="33"/>
      <c r="K43" s="34"/>
      <c r="L43" s="34"/>
      <c r="M43" s="34"/>
      <c r="N43" s="34"/>
      <c r="O43" s="34"/>
      <c r="P43" s="34"/>
      <c r="Q43" s="34"/>
      <c r="R43" s="34"/>
      <c r="S43" s="34"/>
      <c r="T43" s="34"/>
      <c r="U43" s="34"/>
      <c r="V43" s="34"/>
      <c r="W43" s="35"/>
      <c r="X43" s="34"/>
      <c r="Y43" s="34"/>
      <c r="Z43" s="34"/>
      <c r="AA43" s="34"/>
      <c r="AB43" s="34"/>
      <c r="AC43" s="34"/>
      <c r="AD43" s="34"/>
      <c r="AE43" s="34"/>
      <c r="AF43" s="35"/>
    </row>
    <row r="44" spans="1:33" ht="13.8" thickBot="1" x14ac:dyDescent="0.25">
      <c r="A44" s="33"/>
      <c r="B44" s="34"/>
      <c r="C44" s="34"/>
      <c r="D44" s="34"/>
      <c r="E44" s="34"/>
      <c r="F44" s="34"/>
      <c r="G44" s="34"/>
      <c r="H44" s="34"/>
      <c r="I44" s="34"/>
      <c r="J44" s="36"/>
      <c r="K44" s="37"/>
      <c r="L44" s="37"/>
      <c r="M44" s="37"/>
      <c r="N44" s="37"/>
      <c r="O44" s="37"/>
      <c r="P44" s="37"/>
      <c r="Q44" s="37"/>
      <c r="R44" s="37"/>
      <c r="S44" s="37"/>
      <c r="T44" s="37"/>
      <c r="U44" s="37"/>
      <c r="V44" s="37"/>
      <c r="W44" s="38"/>
      <c r="X44" s="34"/>
      <c r="Y44" s="34"/>
      <c r="Z44" s="34"/>
      <c r="AA44" s="34"/>
      <c r="AB44" s="34"/>
      <c r="AC44" s="34"/>
      <c r="AD44" s="34"/>
      <c r="AE44" s="34"/>
      <c r="AF44" s="35"/>
    </row>
    <row r="45" spans="1:33" x14ac:dyDescent="0.2">
      <c r="A45" s="33"/>
      <c r="B45" s="34"/>
      <c r="C45" s="34"/>
      <c r="D45" s="34"/>
      <c r="E45" s="34"/>
      <c r="F45" s="34"/>
      <c r="G45" s="34"/>
      <c r="H45" s="34"/>
      <c r="I45" s="34"/>
      <c r="J45" s="34"/>
      <c r="K45" s="34"/>
      <c r="L45" s="34"/>
      <c r="M45" s="34"/>
      <c r="N45" s="34"/>
      <c r="O45" s="34"/>
      <c r="P45" s="78"/>
      <c r="Q45" s="34"/>
      <c r="R45" s="34"/>
      <c r="S45" s="34"/>
      <c r="T45" s="34"/>
      <c r="U45" s="34"/>
      <c r="V45" s="34"/>
      <c r="W45" s="34"/>
      <c r="X45" s="34"/>
      <c r="Y45" s="34"/>
      <c r="Z45" s="34"/>
      <c r="AA45" s="34"/>
      <c r="AB45" s="34"/>
      <c r="AC45" s="34"/>
      <c r="AD45" s="34"/>
      <c r="AE45" s="34"/>
      <c r="AF45" s="35"/>
    </row>
    <row r="46" spans="1:33" x14ac:dyDescent="0.2">
      <c r="A46" s="33"/>
      <c r="B46" s="34"/>
      <c r="C46" s="34"/>
      <c r="D46" s="34"/>
      <c r="E46" s="34"/>
      <c r="F46" s="34"/>
      <c r="G46" s="34"/>
      <c r="H46" s="34"/>
      <c r="I46" s="34"/>
      <c r="J46" s="34"/>
      <c r="K46" s="34"/>
      <c r="L46" s="34"/>
      <c r="M46" s="34"/>
      <c r="N46" s="34"/>
      <c r="O46" s="34"/>
      <c r="P46" s="78"/>
      <c r="Q46" s="34"/>
      <c r="R46" s="34"/>
      <c r="S46" s="34"/>
      <c r="T46" s="34"/>
      <c r="U46" s="34"/>
      <c r="V46" s="34"/>
      <c r="W46" s="34"/>
      <c r="X46" s="34"/>
      <c r="Y46" s="34"/>
      <c r="Z46" s="34"/>
      <c r="AA46" s="34"/>
      <c r="AB46" s="34"/>
      <c r="AC46" s="34"/>
      <c r="AD46" s="34"/>
      <c r="AE46" s="34"/>
      <c r="AF46" s="35"/>
    </row>
    <row r="47" spans="1:33" x14ac:dyDescent="0.2">
      <c r="A47" s="33"/>
      <c r="B47" s="34"/>
      <c r="C47" s="34"/>
      <c r="D47" s="34"/>
      <c r="E47" s="34"/>
      <c r="F47" s="34"/>
      <c r="G47" s="34"/>
      <c r="H47" s="34"/>
      <c r="I47" s="34"/>
      <c r="J47" s="34"/>
      <c r="K47" s="34"/>
      <c r="L47" s="34"/>
      <c r="M47" s="34"/>
      <c r="N47" s="34"/>
      <c r="O47" s="34"/>
      <c r="P47" s="78"/>
      <c r="Q47" s="34"/>
      <c r="R47" s="34"/>
      <c r="S47" s="34"/>
      <c r="T47" s="34"/>
      <c r="U47" s="34"/>
      <c r="V47" s="34"/>
      <c r="W47" s="34"/>
      <c r="X47" s="34"/>
      <c r="Y47" s="34"/>
      <c r="Z47" s="34"/>
      <c r="AA47" s="34"/>
      <c r="AB47" s="34"/>
      <c r="AC47" s="34"/>
      <c r="AD47" s="34"/>
      <c r="AE47" s="34"/>
      <c r="AF47" s="35"/>
    </row>
    <row r="48" spans="1:33" ht="13.8" thickBot="1" x14ac:dyDescent="0.25">
      <c r="A48" s="36"/>
      <c r="B48" s="37"/>
      <c r="C48" s="37"/>
      <c r="D48" s="37"/>
      <c r="E48" s="37"/>
      <c r="F48" s="37"/>
      <c r="G48" s="37"/>
      <c r="H48" s="37"/>
      <c r="I48" s="37"/>
      <c r="J48" s="37"/>
      <c r="K48" s="37"/>
      <c r="L48" s="37"/>
      <c r="M48" s="37"/>
      <c r="N48" s="37"/>
      <c r="O48" s="37"/>
      <c r="P48" s="79"/>
      <c r="Q48" s="37"/>
      <c r="R48" s="37"/>
      <c r="S48" s="37"/>
      <c r="T48" s="37"/>
      <c r="U48" s="37"/>
      <c r="V48" s="37"/>
      <c r="W48" s="37"/>
      <c r="X48" s="37"/>
      <c r="Y48" s="37"/>
      <c r="Z48" s="37"/>
      <c r="AA48" s="37"/>
      <c r="AB48" s="37"/>
      <c r="AC48" s="37"/>
      <c r="AD48" s="37"/>
      <c r="AE48" s="37"/>
      <c r="AF48" s="38"/>
    </row>
  </sheetData>
  <mergeCells count="103">
    <mergeCell ref="C2:D2"/>
    <mergeCell ref="E2:F2"/>
    <mergeCell ref="G2:H2"/>
    <mergeCell ref="I2:J2"/>
    <mergeCell ref="AA14:AE16"/>
    <mergeCell ref="M15:N15"/>
    <mergeCell ref="O15:P15"/>
    <mergeCell ref="Q15:R15"/>
    <mergeCell ref="S13:T14"/>
    <mergeCell ref="O13:P14"/>
    <mergeCell ref="Q13:R14"/>
    <mergeCell ref="O11:P12"/>
    <mergeCell ref="U11:V12"/>
    <mergeCell ref="K2:L2"/>
    <mergeCell ref="M2:N2"/>
    <mergeCell ref="O2:P2"/>
    <mergeCell ref="Q2:R2"/>
    <mergeCell ref="Q11:R12"/>
    <mergeCell ref="Q3:R4"/>
    <mergeCell ref="O9:P10"/>
    <mergeCell ref="O3:P4"/>
    <mergeCell ref="S2:T2"/>
    <mergeCell ref="U2:V2"/>
    <mergeCell ref="U13:V14"/>
    <mergeCell ref="B3:B4"/>
    <mergeCell ref="B5:B6"/>
    <mergeCell ref="B7:B8"/>
    <mergeCell ref="B9:B10"/>
    <mergeCell ref="B11:B12"/>
    <mergeCell ref="B13:B14"/>
    <mergeCell ref="S15:T15"/>
    <mergeCell ref="U15:V15"/>
    <mergeCell ref="W3:W4"/>
    <mergeCell ref="W5:W6"/>
    <mergeCell ref="W7:W8"/>
    <mergeCell ref="W9:W10"/>
    <mergeCell ref="E13:F14"/>
    <mergeCell ref="G13:H14"/>
    <mergeCell ref="I13:J14"/>
    <mergeCell ref="W11:W12"/>
    <mergeCell ref="W13:W14"/>
    <mergeCell ref="S11:T12"/>
    <mergeCell ref="E11:F12"/>
    <mergeCell ref="C15:D15"/>
    <mergeCell ref="E15:F15"/>
    <mergeCell ref="G15:H15"/>
    <mergeCell ref="I15:J15"/>
    <mergeCell ref="K15:L15"/>
    <mergeCell ref="C9:D10"/>
    <mergeCell ref="C11:D12"/>
    <mergeCell ref="U5:V6"/>
    <mergeCell ref="E7:F8"/>
    <mergeCell ref="G7:H8"/>
    <mergeCell ref="I7:J8"/>
    <mergeCell ref="K7:L8"/>
    <mergeCell ref="M7:N8"/>
    <mergeCell ref="O7:P8"/>
    <mergeCell ref="Q7:R8"/>
    <mergeCell ref="S7:T8"/>
    <mergeCell ref="U7:V8"/>
    <mergeCell ref="I5:J6"/>
    <mergeCell ref="K5:L6"/>
    <mergeCell ref="M5:N6"/>
    <mergeCell ref="O5:P6"/>
    <mergeCell ref="Q5:R6"/>
    <mergeCell ref="G11:H12"/>
    <mergeCell ref="I11:J12"/>
    <mergeCell ref="K13:L14"/>
    <mergeCell ref="I9:J10"/>
    <mergeCell ref="K9:L10"/>
    <mergeCell ref="M9:N10"/>
    <mergeCell ref="S9:T10"/>
    <mergeCell ref="U9:V10"/>
    <mergeCell ref="L30:U32"/>
    <mergeCell ref="L35:U36"/>
    <mergeCell ref="Q9:R10"/>
    <mergeCell ref="K11:L12"/>
    <mergeCell ref="M11:N12"/>
    <mergeCell ref="M13:N14"/>
    <mergeCell ref="L38:U39"/>
    <mergeCell ref="L41:U42"/>
    <mergeCell ref="W18:AB23"/>
    <mergeCell ref="I19:V22"/>
    <mergeCell ref="B19:H22"/>
    <mergeCell ref="AA2:AE4"/>
    <mergeCell ref="AA6:AE8"/>
    <mergeCell ref="AA10:AE12"/>
    <mergeCell ref="S3:T4"/>
    <mergeCell ref="U3:V4"/>
    <mergeCell ref="E5:F6"/>
    <mergeCell ref="G5:H6"/>
    <mergeCell ref="E3:F4"/>
    <mergeCell ref="G3:H4"/>
    <mergeCell ref="I3:J4"/>
    <mergeCell ref="K3:L4"/>
    <mergeCell ref="M3:N4"/>
    <mergeCell ref="S5:T6"/>
    <mergeCell ref="C13:D14"/>
    <mergeCell ref="C3:D4"/>
    <mergeCell ref="C5:D6"/>
    <mergeCell ref="C7:D8"/>
    <mergeCell ref="E9:F10"/>
    <mergeCell ref="G9:H10"/>
  </mergeCells>
  <phoneticPr fontId="1"/>
  <pageMargins left="0.7" right="0.7" top="0.75" bottom="0.75" header="0.3" footer="0.3"/>
  <pageSetup paperSize="9" orientation="portrait" horizontalDpi="4294967293"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AF28"/>
  <sheetViews>
    <sheetView workbookViewId="0">
      <selection activeCell="M11" sqref="M11"/>
    </sheetView>
  </sheetViews>
  <sheetFormatPr defaultRowHeight="13.2" x14ac:dyDescent="0.2"/>
  <cols>
    <col min="5" max="5" width="8.88671875" customWidth="1"/>
    <col min="22" max="22" width="11.33203125" bestFit="1" customWidth="1"/>
  </cols>
  <sheetData>
    <row r="3" spans="3:21" ht="13.8" thickBot="1" x14ac:dyDescent="0.25">
      <c r="D3" s="88">
        <v>6</v>
      </c>
      <c r="H3" s="20">
        <v>0</v>
      </c>
    </row>
    <row r="4" spans="3:21" x14ac:dyDescent="0.2">
      <c r="C4" s="144" t="s">
        <v>314</v>
      </c>
      <c r="D4" s="145"/>
      <c r="E4" s="146"/>
      <c r="F4" s="89" t="s">
        <v>311</v>
      </c>
      <c r="G4" s="144" t="s">
        <v>155</v>
      </c>
      <c r="H4" s="145"/>
      <c r="I4" s="146"/>
      <c r="P4" s="68" t="s">
        <v>311</v>
      </c>
    </row>
    <row r="5" spans="3:21" x14ac:dyDescent="0.2">
      <c r="C5" s="147"/>
      <c r="D5" s="148"/>
      <c r="E5" s="149"/>
      <c r="F5" s="89"/>
      <c r="G5" s="147"/>
      <c r="H5" s="148"/>
      <c r="I5" s="149"/>
    </row>
    <row r="6" spans="3:21" ht="13.8" thickBot="1" x14ac:dyDescent="0.25">
      <c r="C6" s="150"/>
      <c r="D6" s="151"/>
      <c r="E6" s="152"/>
      <c r="F6" s="89" t="s">
        <v>310</v>
      </c>
      <c r="G6" s="150"/>
      <c r="H6" s="151"/>
      <c r="I6" s="152"/>
      <c r="P6" s="88">
        <v>7</v>
      </c>
    </row>
    <row r="7" spans="3:21" x14ac:dyDescent="0.2">
      <c r="M7" t="s">
        <v>312</v>
      </c>
      <c r="O7" s="144" t="s">
        <v>315</v>
      </c>
      <c r="P7" s="145"/>
      <c r="Q7" s="146"/>
    </row>
    <row r="8" spans="3:21" ht="13.8" thickBot="1" x14ac:dyDescent="0.25">
      <c r="G8" s="68" t="s">
        <v>311</v>
      </c>
      <c r="I8" t="s">
        <v>310</v>
      </c>
      <c r="O8" s="147"/>
      <c r="P8" s="148"/>
      <c r="Q8" s="149"/>
      <c r="T8" s="88">
        <v>8</v>
      </c>
    </row>
    <row r="9" spans="3:21" ht="13.8" thickBot="1" x14ac:dyDescent="0.25">
      <c r="H9" s="88">
        <v>1</v>
      </c>
      <c r="K9" s="68" t="s">
        <v>311</v>
      </c>
      <c r="O9" s="150"/>
      <c r="P9" s="151"/>
      <c r="Q9" s="152"/>
      <c r="S9" s="144" t="s">
        <v>161</v>
      </c>
      <c r="T9" s="145"/>
      <c r="U9" s="146"/>
    </row>
    <row r="10" spans="3:21" x14ac:dyDescent="0.2">
      <c r="G10" s="144" t="s">
        <v>156</v>
      </c>
      <c r="H10" s="145"/>
      <c r="I10" s="146"/>
      <c r="S10" s="147"/>
      <c r="T10" s="148"/>
      <c r="U10" s="149"/>
    </row>
    <row r="11" spans="3:21" ht="13.8" thickBot="1" x14ac:dyDescent="0.25">
      <c r="G11" s="147"/>
      <c r="H11" s="148"/>
      <c r="I11" s="149"/>
      <c r="S11" s="150"/>
      <c r="T11" s="151"/>
      <c r="U11" s="152"/>
    </row>
    <row r="12" spans="3:21" ht="13.8" thickBot="1" x14ac:dyDescent="0.25">
      <c r="G12" s="150"/>
      <c r="H12" s="151"/>
      <c r="I12" s="152"/>
      <c r="O12" s="68" t="s">
        <v>311</v>
      </c>
      <c r="Q12" t="s">
        <v>310</v>
      </c>
    </row>
    <row r="13" spans="3:21" x14ac:dyDescent="0.2">
      <c r="N13" s="89" t="s">
        <v>310</v>
      </c>
    </row>
    <row r="14" spans="3:21" x14ac:dyDescent="0.2">
      <c r="G14" s="68" t="s">
        <v>311</v>
      </c>
      <c r="I14" t="s">
        <v>310</v>
      </c>
    </row>
    <row r="15" spans="3:21" ht="13.8" thickBot="1" x14ac:dyDescent="0.25">
      <c r="H15" s="88">
        <v>2</v>
      </c>
      <c r="L15" s="88">
        <v>3</v>
      </c>
      <c r="P15" s="88">
        <v>4</v>
      </c>
      <c r="R15">
        <v>50</v>
      </c>
      <c r="S15">
        <v>420</v>
      </c>
      <c r="T15">
        <f t="shared" ref="T15:T20" si="0">(R15 - 90) ^ 2 / 68 ^ 2 + (S15 - 444 )^ 2 / 25 ^ 2</f>
        <v>1.2676207612456747</v>
      </c>
    </row>
    <row r="16" spans="3:21" x14ac:dyDescent="0.2">
      <c r="G16" s="144" t="s">
        <v>157</v>
      </c>
      <c r="H16" s="145"/>
      <c r="I16" s="146"/>
      <c r="J16" s="68" t="s">
        <v>311</v>
      </c>
      <c r="K16" s="144" t="s">
        <v>158</v>
      </c>
      <c r="L16" s="145"/>
      <c r="M16" s="146"/>
      <c r="N16" t="s">
        <v>312</v>
      </c>
      <c r="O16" s="144" t="s">
        <v>159</v>
      </c>
      <c r="P16" s="145"/>
      <c r="Q16" s="146"/>
      <c r="R16">
        <f>R15 + 20</f>
        <v>70</v>
      </c>
      <c r="S16">
        <f xml:space="preserve"> S15 + 10</f>
        <v>430</v>
      </c>
      <c r="T16">
        <f t="shared" si="0"/>
        <v>0.40010519031141867</v>
      </c>
      <c r="U16" t="s">
        <v>163</v>
      </c>
    </row>
    <row r="17" spans="7:32" x14ac:dyDescent="0.2">
      <c r="G17" s="147"/>
      <c r="H17" s="148"/>
      <c r="I17" s="149"/>
      <c r="K17" s="147"/>
      <c r="L17" s="148"/>
      <c r="M17" s="149"/>
      <c r="O17" s="147"/>
      <c r="P17" s="148"/>
      <c r="Q17" s="149"/>
      <c r="R17">
        <f>R16 + 20</f>
        <v>90</v>
      </c>
      <c r="S17">
        <f xml:space="preserve"> S16 + 10</f>
        <v>440</v>
      </c>
      <c r="T17">
        <f t="shared" si="0"/>
        <v>2.5600000000000001E-2</v>
      </c>
    </row>
    <row r="18" spans="7:32" ht="13.8" thickBot="1" x14ac:dyDescent="0.25">
      <c r="G18" s="150"/>
      <c r="H18" s="151"/>
      <c r="I18" s="152"/>
      <c r="K18" s="150"/>
      <c r="L18" s="151"/>
      <c r="M18" s="152"/>
      <c r="N18" t="s">
        <v>310</v>
      </c>
      <c r="O18" s="150"/>
      <c r="P18" s="151"/>
      <c r="Q18" s="152"/>
      <c r="R18">
        <f>R17 + 20</f>
        <v>110</v>
      </c>
      <c r="S18">
        <f xml:space="preserve"> S17 + 10</f>
        <v>450</v>
      </c>
      <c r="T18">
        <f t="shared" si="0"/>
        <v>0.14410519031141866</v>
      </c>
    </row>
    <row r="19" spans="7:32" x14ac:dyDescent="0.2">
      <c r="R19">
        <f>R18 + 20</f>
        <v>130</v>
      </c>
      <c r="S19">
        <f xml:space="preserve"> S18 + 10</f>
        <v>460</v>
      </c>
      <c r="T19">
        <f t="shared" si="0"/>
        <v>0.75562076124567468</v>
      </c>
      <c r="W19">
        <v>53</v>
      </c>
      <c r="X19">
        <v>10</v>
      </c>
      <c r="Y19">
        <v>26</v>
      </c>
      <c r="AA19">
        <v>165</v>
      </c>
      <c r="AB19">
        <v>105</v>
      </c>
      <c r="AC19">
        <v>475</v>
      </c>
      <c r="AD19">
        <v>180</v>
      </c>
      <c r="AE19">
        <f>AC19-AA19</f>
        <v>310</v>
      </c>
      <c r="AF19">
        <f>AD19-AB19</f>
        <v>75</v>
      </c>
    </row>
    <row r="20" spans="7:32" x14ac:dyDescent="0.2">
      <c r="K20" t="s">
        <v>313</v>
      </c>
      <c r="M20" s="68" t="s">
        <v>311</v>
      </c>
      <c r="R20">
        <f>R19 + 20</f>
        <v>150</v>
      </c>
      <c r="S20">
        <f xml:space="preserve"> S19 + 10</f>
        <v>470</v>
      </c>
      <c r="T20">
        <f t="shared" si="0"/>
        <v>1.8601467128027682</v>
      </c>
      <c r="W20">
        <v>20</v>
      </c>
      <c r="X20">
        <v>73</v>
      </c>
      <c r="Y20">
        <v>126</v>
      </c>
      <c r="AB20">
        <v>225</v>
      </c>
    </row>
    <row r="21" spans="7:32" ht="13.8" thickBot="1" x14ac:dyDescent="0.25">
      <c r="I21" s="68" t="s">
        <v>311</v>
      </c>
      <c r="L21" s="88">
        <v>5</v>
      </c>
      <c r="X21">
        <v>36</v>
      </c>
    </row>
    <row r="22" spans="7:32" x14ac:dyDescent="0.2">
      <c r="K22" s="144" t="s">
        <v>160</v>
      </c>
      <c r="L22" s="145"/>
      <c r="M22" s="146"/>
      <c r="P22" s="68" t="s">
        <v>311</v>
      </c>
      <c r="R22" s="143" t="s">
        <v>208</v>
      </c>
      <c r="S22" s="143"/>
      <c r="T22" s="143"/>
      <c r="U22" s="143"/>
      <c r="V22" t="s">
        <v>215</v>
      </c>
      <c r="X22">
        <v>62</v>
      </c>
      <c r="AA22">
        <v>170</v>
      </c>
      <c r="AB22">
        <v>110</v>
      </c>
    </row>
    <row r="23" spans="7:32" x14ac:dyDescent="0.2">
      <c r="K23" s="147"/>
      <c r="L23" s="148"/>
      <c r="M23" s="149"/>
      <c r="R23" s="143" t="s">
        <v>214</v>
      </c>
      <c r="S23" s="143"/>
      <c r="T23" s="143"/>
      <c r="U23" s="143"/>
      <c r="V23" t="s">
        <v>216</v>
      </c>
      <c r="AA23">
        <v>475</v>
      </c>
      <c r="AB23">
        <v>180</v>
      </c>
    </row>
    <row r="24" spans="7:32" ht="13.8" thickBot="1" x14ac:dyDescent="0.25">
      <c r="K24" s="150"/>
      <c r="L24" s="151"/>
      <c r="M24" s="152"/>
      <c r="R24" s="143" t="s">
        <v>209</v>
      </c>
      <c r="S24" s="143"/>
      <c r="T24" s="143"/>
      <c r="U24" s="143"/>
      <c r="V24" t="s">
        <v>217</v>
      </c>
      <c r="AA24">
        <f>AA23-AA22</f>
        <v>305</v>
      </c>
      <c r="AB24">
        <f>AB23-AB22</f>
        <v>70</v>
      </c>
    </row>
    <row r="25" spans="7:32" x14ac:dyDescent="0.2">
      <c r="R25" s="143" t="s">
        <v>210</v>
      </c>
      <c r="S25" s="143"/>
      <c r="T25" s="143"/>
      <c r="U25" s="143"/>
      <c r="V25" t="s">
        <v>218</v>
      </c>
    </row>
    <row r="26" spans="7:32" x14ac:dyDescent="0.2">
      <c r="R26" s="143" t="s">
        <v>211</v>
      </c>
      <c r="S26" s="143"/>
      <c r="T26" s="143"/>
      <c r="U26" s="143"/>
      <c r="V26" t="s">
        <v>219</v>
      </c>
    </row>
    <row r="27" spans="7:32" x14ac:dyDescent="0.2">
      <c r="R27" s="143" t="s">
        <v>212</v>
      </c>
      <c r="S27" s="143"/>
      <c r="T27" s="143"/>
      <c r="U27" s="143"/>
      <c r="V27" t="s">
        <v>220</v>
      </c>
    </row>
    <row r="28" spans="7:32" x14ac:dyDescent="0.2">
      <c r="R28" s="143" t="s">
        <v>213</v>
      </c>
      <c r="S28" s="143"/>
      <c r="T28" s="143"/>
      <c r="U28" s="143"/>
      <c r="V28" t="s">
        <v>221</v>
      </c>
    </row>
  </sheetData>
  <mergeCells count="16">
    <mergeCell ref="C4:E6"/>
    <mergeCell ref="O7:Q9"/>
    <mergeCell ref="R25:U25"/>
    <mergeCell ref="R26:U26"/>
    <mergeCell ref="R27:U27"/>
    <mergeCell ref="R28:U28"/>
    <mergeCell ref="R23:U23"/>
    <mergeCell ref="K22:M24"/>
    <mergeCell ref="S9:U11"/>
    <mergeCell ref="G4:I6"/>
    <mergeCell ref="G10:I12"/>
    <mergeCell ref="G16:I18"/>
    <mergeCell ref="K16:M18"/>
    <mergeCell ref="O16:Q18"/>
    <mergeCell ref="R22:U22"/>
    <mergeCell ref="R24:U24"/>
  </mergeCells>
  <phoneticPr fontId="1"/>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41"/>
  <sheetViews>
    <sheetView tabSelected="1" workbookViewId="0">
      <selection activeCell="B12" sqref="B12"/>
    </sheetView>
  </sheetViews>
  <sheetFormatPr defaultRowHeight="13.2" x14ac:dyDescent="0.2"/>
  <cols>
    <col min="2" max="2" width="111" customWidth="1"/>
    <col min="4" max="4" width="10.5546875" bestFit="1" customWidth="1"/>
  </cols>
  <sheetData>
    <row r="1" spans="1:19" x14ac:dyDescent="0.2">
      <c r="B1" t="s">
        <v>179</v>
      </c>
      <c r="C1" t="s">
        <v>181</v>
      </c>
      <c r="D1" t="s">
        <v>183</v>
      </c>
      <c r="E1" s="39" t="s">
        <v>182</v>
      </c>
      <c r="L1" s="154" t="s">
        <v>198</v>
      </c>
      <c r="M1" s="154"/>
      <c r="N1" s="154"/>
      <c r="O1" s="154"/>
      <c r="P1" s="154"/>
      <c r="Q1" s="154"/>
      <c r="R1" s="154"/>
      <c r="S1" s="154"/>
    </row>
    <row r="2" spans="1:19" x14ac:dyDescent="0.2">
      <c r="A2">
        <v>1</v>
      </c>
      <c r="B2" s="45" t="s">
        <v>180</v>
      </c>
      <c r="C2" s="39" t="s">
        <v>182</v>
      </c>
      <c r="D2" s="40">
        <v>43503</v>
      </c>
      <c r="L2" s="155" t="s">
        <v>199</v>
      </c>
      <c r="M2" s="155"/>
      <c r="N2" s="155"/>
      <c r="O2" s="155"/>
      <c r="P2" s="155"/>
      <c r="Q2" s="155"/>
      <c r="R2" s="155"/>
      <c r="S2" s="155"/>
    </row>
    <row r="3" spans="1:19" x14ac:dyDescent="0.2">
      <c r="A3">
        <v>2</v>
      </c>
      <c r="B3" s="45" t="s">
        <v>184</v>
      </c>
      <c r="C3" s="39" t="s">
        <v>182</v>
      </c>
      <c r="D3" s="40">
        <v>43503</v>
      </c>
      <c r="L3" s="156" t="s">
        <v>200</v>
      </c>
      <c r="M3" s="156"/>
      <c r="N3" s="156"/>
      <c r="O3" s="156"/>
      <c r="P3" s="156"/>
      <c r="Q3" s="156"/>
      <c r="R3" s="156"/>
      <c r="S3" s="156"/>
    </row>
    <row r="4" spans="1:19" x14ac:dyDescent="0.2">
      <c r="A4">
        <v>3</v>
      </c>
      <c r="B4" s="46" t="s">
        <v>303</v>
      </c>
      <c r="C4" s="39" t="s">
        <v>182</v>
      </c>
      <c r="D4" s="40">
        <v>43503</v>
      </c>
      <c r="G4">
        <v>80</v>
      </c>
      <c r="H4">
        <v>160</v>
      </c>
      <c r="L4" s="157" t="s">
        <v>201</v>
      </c>
      <c r="M4" s="157"/>
      <c r="N4" s="157"/>
      <c r="O4" s="157"/>
      <c r="P4" s="157"/>
      <c r="Q4" s="157"/>
      <c r="R4" s="157"/>
      <c r="S4" s="157"/>
    </row>
    <row r="5" spans="1:19" x14ac:dyDescent="0.2">
      <c r="A5">
        <v>4</v>
      </c>
      <c r="B5" s="46" t="s">
        <v>197</v>
      </c>
      <c r="C5" s="39" t="s">
        <v>182</v>
      </c>
      <c r="D5" s="40">
        <v>43503</v>
      </c>
      <c r="G5">
        <v>160</v>
      </c>
      <c r="H5">
        <v>80</v>
      </c>
      <c r="L5" s="153"/>
      <c r="M5" s="153"/>
      <c r="N5" s="153"/>
      <c r="O5" s="153"/>
      <c r="P5" s="153"/>
      <c r="Q5" s="153"/>
      <c r="R5" s="153"/>
      <c r="S5" s="153"/>
    </row>
    <row r="6" spans="1:19" x14ac:dyDescent="0.2">
      <c r="A6">
        <v>5</v>
      </c>
      <c r="B6" s="45" t="s">
        <v>185</v>
      </c>
      <c r="C6" s="39" t="s">
        <v>182</v>
      </c>
      <c r="D6" s="40">
        <v>43503</v>
      </c>
      <c r="G6">
        <v>80</v>
      </c>
      <c r="H6">
        <v>160</v>
      </c>
      <c r="L6" s="153"/>
      <c r="M6" s="153"/>
      <c r="N6" s="153"/>
      <c r="O6" s="153"/>
      <c r="P6" s="153"/>
      <c r="Q6" s="153"/>
      <c r="R6" s="153"/>
      <c r="S6" s="153"/>
    </row>
    <row r="7" spans="1:19" x14ac:dyDescent="0.2">
      <c r="A7">
        <v>6</v>
      </c>
      <c r="B7" s="45" t="s">
        <v>202</v>
      </c>
      <c r="C7" s="39" t="s">
        <v>182</v>
      </c>
      <c r="D7" s="40">
        <v>43508</v>
      </c>
      <c r="G7">
        <v>160</v>
      </c>
      <c r="H7">
        <v>80</v>
      </c>
      <c r="L7" s="153"/>
      <c r="M7" s="153"/>
      <c r="N7" s="153"/>
      <c r="O7" s="153"/>
      <c r="P7" s="153"/>
      <c r="Q7" s="153"/>
      <c r="R7" s="153"/>
      <c r="S7" s="153"/>
    </row>
    <row r="8" spans="1:19" x14ac:dyDescent="0.2">
      <c r="A8">
        <v>7</v>
      </c>
      <c r="B8" s="45" t="s">
        <v>366</v>
      </c>
      <c r="C8" s="39" t="s">
        <v>182</v>
      </c>
      <c r="D8" s="40">
        <v>43510</v>
      </c>
      <c r="L8" s="153"/>
      <c r="M8" s="153"/>
      <c r="N8" s="153"/>
      <c r="O8" s="153"/>
      <c r="P8" s="153"/>
      <c r="Q8" s="153"/>
      <c r="R8" s="153"/>
      <c r="S8" s="153"/>
    </row>
    <row r="9" spans="1:19" x14ac:dyDescent="0.2">
      <c r="A9">
        <v>8</v>
      </c>
      <c r="B9" s="45" t="s">
        <v>186</v>
      </c>
      <c r="C9" s="39" t="s">
        <v>182</v>
      </c>
      <c r="D9" s="40">
        <v>43511</v>
      </c>
      <c r="L9" s="153"/>
      <c r="M9" s="153"/>
      <c r="N9" s="153"/>
      <c r="O9" s="153"/>
      <c r="P9" s="153"/>
      <c r="Q9" s="153"/>
      <c r="R9" s="153"/>
      <c r="S9" s="153"/>
    </row>
    <row r="10" spans="1:19" x14ac:dyDescent="0.2">
      <c r="A10">
        <v>9</v>
      </c>
      <c r="B10" s="45" t="s">
        <v>187</v>
      </c>
      <c r="C10" s="39" t="s">
        <v>182</v>
      </c>
      <c r="D10" s="40">
        <v>43511</v>
      </c>
    </row>
    <row r="11" spans="1:19" x14ac:dyDescent="0.2">
      <c r="A11">
        <v>10</v>
      </c>
      <c r="B11" s="45" t="s">
        <v>188</v>
      </c>
      <c r="C11" s="39" t="s">
        <v>182</v>
      </c>
      <c r="D11" s="40">
        <v>43511</v>
      </c>
    </row>
    <row r="12" spans="1:19" x14ac:dyDescent="0.2">
      <c r="A12">
        <v>11</v>
      </c>
      <c r="B12" s="45" t="s">
        <v>189</v>
      </c>
      <c r="C12" s="39" t="s">
        <v>182</v>
      </c>
      <c r="D12" s="40">
        <v>43515</v>
      </c>
      <c r="M12">
        <v>40</v>
      </c>
      <c r="N12">
        <v>40</v>
      </c>
      <c r="O12" s="41"/>
      <c r="P12" s="41"/>
    </row>
    <row r="13" spans="1:19" x14ac:dyDescent="0.2">
      <c r="A13">
        <v>12</v>
      </c>
      <c r="B13" s="45" t="s">
        <v>191</v>
      </c>
      <c r="C13" s="39" t="s">
        <v>182</v>
      </c>
      <c r="D13" s="40">
        <v>43524</v>
      </c>
      <c r="I13">
        <v>0</v>
      </c>
      <c r="J13">
        <v>0</v>
      </c>
      <c r="K13">
        <v>0</v>
      </c>
      <c r="L13">
        <v>160</v>
      </c>
      <c r="M13">
        <v>-40</v>
      </c>
      <c r="N13">
        <v>-40</v>
      </c>
      <c r="O13" s="41">
        <f>K13-M13*-1</f>
        <v>-40</v>
      </c>
      <c r="P13" s="42">
        <f>L13-N13*-1 - 40</f>
        <v>80</v>
      </c>
      <c r="Q13" s="44">
        <f>P16*-1</f>
        <v>-40</v>
      </c>
      <c r="R13" s="43">
        <f>O16</f>
        <v>-40</v>
      </c>
    </row>
    <row r="14" spans="1:19" x14ac:dyDescent="0.2">
      <c r="A14">
        <v>13</v>
      </c>
      <c r="B14" s="45" t="s">
        <v>192</v>
      </c>
      <c r="C14" s="39" t="s">
        <v>182</v>
      </c>
      <c r="D14" s="40">
        <v>43532</v>
      </c>
      <c r="E14">
        <v>200</v>
      </c>
      <c r="F14">
        <v>270</v>
      </c>
      <c r="G14">
        <v>270</v>
      </c>
      <c r="H14">
        <v>290</v>
      </c>
      <c r="I14">
        <v>0</v>
      </c>
      <c r="J14">
        <v>160</v>
      </c>
      <c r="K14">
        <v>0</v>
      </c>
      <c r="L14">
        <v>80</v>
      </c>
      <c r="M14">
        <v>-80</v>
      </c>
      <c r="N14">
        <v>-40</v>
      </c>
      <c r="O14" s="41">
        <f>K14-M14*-1</f>
        <v>-80</v>
      </c>
      <c r="P14" s="42">
        <f>L14-N14*-1 - 40</f>
        <v>0</v>
      </c>
      <c r="Q14" s="44">
        <f>P13*-1</f>
        <v>-80</v>
      </c>
      <c r="R14" s="43">
        <f>O13</f>
        <v>-40</v>
      </c>
    </row>
    <row r="15" spans="1:19" x14ac:dyDescent="0.2">
      <c r="A15">
        <v>14</v>
      </c>
      <c r="B15" s="45" t="s">
        <v>195</v>
      </c>
      <c r="C15" s="39" t="s">
        <v>182</v>
      </c>
      <c r="D15" s="40">
        <v>43543</v>
      </c>
      <c r="E15">
        <v>360</v>
      </c>
      <c r="F15">
        <v>440</v>
      </c>
      <c r="G15">
        <v>270</v>
      </c>
      <c r="H15">
        <v>290</v>
      </c>
      <c r="I15">
        <v>80</v>
      </c>
      <c r="J15">
        <v>160</v>
      </c>
      <c r="K15">
        <v>0</v>
      </c>
      <c r="L15">
        <v>160</v>
      </c>
      <c r="M15">
        <v>0</v>
      </c>
      <c r="N15">
        <v>-80</v>
      </c>
      <c r="O15" s="41">
        <f>K15-M15*-1</f>
        <v>0</v>
      </c>
      <c r="P15" s="42">
        <f>L15-N15*-1 - 40</f>
        <v>40</v>
      </c>
      <c r="Q15" s="44">
        <f>P14*-1</f>
        <v>0</v>
      </c>
      <c r="R15" s="43">
        <f>O14</f>
        <v>-80</v>
      </c>
    </row>
    <row r="16" spans="1:19" x14ac:dyDescent="0.2">
      <c r="A16">
        <v>15</v>
      </c>
      <c r="B16" s="45" t="s">
        <v>193</v>
      </c>
      <c r="C16" s="39" t="s">
        <v>182</v>
      </c>
      <c r="D16" s="40">
        <v>43595</v>
      </c>
      <c r="I16">
        <v>80</v>
      </c>
      <c r="J16">
        <v>0</v>
      </c>
      <c r="K16">
        <v>0</v>
      </c>
      <c r="L16">
        <v>80</v>
      </c>
      <c r="M16">
        <v>-40</v>
      </c>
      <c r="N16">
        <v>0</v>
      </c>
      <c r="O16" s="41">
        <f>K16-M16*-1</f>
        <v>-40</v>
      </c>
      <c r="P16" s="42">
        <f>L16-N16*-1 - 40</f>
        <v>40</v>
      </c>
      <c r="Q16" s="44">
        <f>P15*-1</f>
        <v>-40</v>
      </c>
      <c r="R16" s="43">
        <f>O15</f>
        <v>0</v>
      </c>
    </row>
    <row r="17" spans="1:12" x14ac:dyDescent="0.2">
      <c r="A17">
        <v>16</v>
      </c>
      <c r="B17" s="45" t="s">
        <v>190</v>
      </c>
      <c r="C17" s="39" t="s">
        <v>182</v>
      </c>
      <c r="D17" s="40">
        <v>43609</v>
      </c>
    </row>
    <row r="18" spans="1:12" x14ac:dyDescent="0.2">
      <c r="A18">
        <v>17</v>
      </c>
      <c r="B18" s="45" t="s">
        <v>194</v>
      </c>
      <c r="C18" s="39" t="s">
        <v>182</v>
      </c>
      <c r="D18" s="40">
        <v>43617</v>
      </c>
    </row>
    <row r="19" spans="1:12" x14ac:dyDescent="0.2">
      <c r="A19">
        <v>18</v>
      </c>
      <c r="B19" s="45" t="s">
        <v>196</v>
      </c>
      <c r="C19" s="39" t="s">
        <v>182</v>
      </c>
      <c r="D19" s="40">
        <v>43617</v>
      </c>
    </row>
    <row r="20" spans="1:12" x14ac:dyDescent="0.2">
      <c r="A20">
        <v>19</v>
      </c>
      <c r="B20" s="45" t="s">
        <v>292</v>
      </c>
      <c r="C20" s="39" t="s">
        <v>182</v>
      </c>
      <c r="D20" s="40">
        <v>43639</v>
      </c>
      <c r="E20" t="s">
        <v>205</v>
      </c>
      <c r="F20" t="s">
        <v>203</v>
      </c>
      <c r="G20" t="s">
        <v>204</v>
      </c>
      <c r="H20" t="s">
        <v>206</v>
      </c>
      <c r="I20" t="s">
        <v>207</v>
      </c>
    </row>
    <row r="21" spans="1:12" x14ac:dyDescent="0.2">
      <c r="A21">
        <v>20</v>
      </c>
      <c r="B21" s="93" t="s">
        <v>289</v>
      </c>
      <c r="C21" s="39" t="s">
        <v>182</v>
      </c>
      <c r="D21" s="40">
        <v>43620</v>
      </c>
      <c r="E21">
        <v>1</v>
      </c>
      <c r="F21">
        <v>12</v>
      </c>
      <c r="G21">
        <v>7</v>
      </c>
      <c r="H21">
        <v>8</v>
      </c>
      <c r="I21">
        <v>4</v>
      </c>
      <c r="J21">
        <v>0</v>
      </c>
      <c r="K21">
        <v>6</v>
      </c>
      <c r="L21">
        <f>MOD(J21+2,4) +4</f>
        <v>6</v>
      </c>
    </row>
    <row r="22" spans="1:12" x14ac:dyDescent="0.2">
      <c r="A22">
        <v>21</v>
      </c>
      <c r="B22" s="93" t="s">
        <v>291</v>
      </c>
      <c r="C22" s="39" t="s">
        <v>182</v>
      </c>
      <c r="D22" s="40">
        <v>43617</v>
      </c>
      <c r="E22">
        <v>2</v>
      </c>
      <c r="F22">
        <v>9</v>
      </c>
      <c r="G22">
        <v>11</v>
      </c>
      <c r="H22">
        <v>5</v>
      </c>
      <c r="J22">
        <v>1</v>
      </c>
      <c r="K22">
        <v>7</v>
      </c>
      <c r="L22">
        <f>MOD(J22+2,4) +4</f>
        <v>7</v>
      </c>
    </row>
    <row r="23" spans="1:12" x14ac:dyDescent="0.2">
      <c r="A23">
        <v>22</v>
      </c>
      <c r="B23" s="93" t="s">
        <v>290</v>
      </c>
      <c r="C23" s="39" t="s">
        <v>182</v>
      </c>
      <c r="D23" s="40">
        <v>43623</v>
      </c>
      <c r="E23">
        <v>3</v>
      </c>
      <c r="F23">
        <v>11</v>
      </c>
      <c r="G23">
        <v>13</v>
      </c>
      <c r="H23">
        <v>12</v>
      </c>
      <c r="J23">
        <v>2</v>
      </c>
      <c r="K23">
        <v>4</v>
      </c>
      <c r="L23">
        <f>MOD(J23+2,4) +4</f>
        <v>4</v>
      </c>
    </row>
    <row r="24" spans="1:12" x14ac:dyDescent="0.2">
      <c r="A24">
        <v>23</v>
      </c>
      <c r="B24" s="93" t="s">
        <v>304</v>
      </c>
      <c r="C24" s="39" t="s">
        <v>182</v>
      </c>
      <c r="D24" s="40">
        <v>43623</v>
      </c>
      <c r="E24">
        <v>4</v>
      </c>
      <c r="F24">
        <v>0</v>
      </c>
      <c r="G24">
        <v>8</v>
      </c>
      <c r="H24">
        <v>1</v>
      </c>
      <c r="J24">
        <v>3</v>
      </c>
      <c r="K24">
        <v>5</v>
      </c>
      <c r="L24">
        <f>MOD(J24+2,4) +4</f>
        <v>5</v>
      </c>
    </row>
    <row r="25" spans="1:12" x14ac:dyDescent="0.2">
      <c r="A25">
        <v>24</v>
      </c>
      <c r="B25" s="45" t="s">
        <v>309</v>
      </c>
      <c r="C25" s="39" t="s">
        <v>182</v>
      </c>
      <c r="D25" s="40">
        <v>43639</v>
      </c>
      <c r="E25">
        <v>5</v>
      </c>
      <c r="F25">
        <v>8</v>
      </c>
      <c r="G25">
        <v>9</v>
      </c>
      <c r="H25">
        <v>3</v>
      </c>
      <c r="J25">
        <v>4</v>
      </c>
      <c r="K25">
        <v>2</v>
      </c>
      <c r="L25">
        <f>MOD(J25-2,4)</f>
        <v>2</v>
      </c>
    </row>
    <row r="26" spans="1:12" x14ac:dyDescent="0.2">
      <c r="A26">
        <v>25</v>
      </c>
      <c r="B26" s="45" t="s">
        <v>332</v>
      </c>
      <c r="C26" s="39" t="s">
        <v>182</v>
      </c>
      <c r="D26" s="40">
        <v>43640</v>
      </c>
      <c r="E26">
        <v>6</v>
      </c>
      <c r="F26">
        <v>7</v>
      </c>
      <c r="G26">
        <v>10</v>
      </c>
      <c r="H26">
        <v>10</v>
      </c>
      <c r="J26">
        <v>5</v>
      </c>
      <c r="K26">
        <v>3</v>
      </c>
      <c r="L26">
        <f>MOD(J26-2,4)</f>
        <v>3</v>
      </c>
    </row>
    <row r="27" spans="1:12" x14ac:dyDescent="0.2">
      <c r="A27">
        <v>26</v>
      </c>
      <c r="B27" s="93" t="s">
        <v>365</v>
      </c>
      <c r="C27" s="39" t="s">
        <v>182</v>
      </c>
      <c r="D27" s="40">
        <v>43651</v>
      </c>
      <c r="E27">
        <v>7</v>
      </c>
      <c r="F27">
        <v>1</v>
      </c>
      <c r="G27">
        <v>6</v>
      </c>
      <c r="H27">
        <v>9</v>
      </c>
      <c r="J27">
        <v>6</v>
      </c>
      <c r="K27">
        <v>0</v>
      </c>
      <c r="L27">
        <f>MOD(J27-2,4)</f>
        <v>0</v>
      </c>
    </row>
    <row r="28" spans="1:12" x14ac:dyDescent="0.2">
      <c r="A28" t="s">
        <v>305</v>
      </c>
      <c r="B28" t="s">
        <v>307</v>
      </c>
      <c r="E28">
        <v>8</v>
      </c>
      <c r="F28">
        <v>4</v>
      </c>
      <c r="G28">
        <v>5</v>
      </c>
      <c r="H28">
        <v>2</v>
      </c>
      <c r="J28">
        <v>7</v>
      </c>
      <c r="K28">
        <v>1</v>
      </c>
      <c r="L28">
        <f>MOD(J28-2,4)</f>
        <v>1</v>
      </c>
    </row>
    <row r="29" spans="1:12" x14ac:dyDescent="0.2">
      <c r="A29" t="s">
        <v>306</v>
      </c>
      <c r="B29" t="s">
        <v>308</v>
      </c>
      <c r="E29">
        <v>9</v>
      </c>
      <c r="F29">
        <v>5</v>
      </c>
      <c r="G29">
        <v>2</v>
      </c>
      <c r="H29">
        <v>4</v>
      </c>
    </row>
    <row r="30" spans="1:12" x14ac:dyDescent="0.2">
      <c r="A30" t="s">
        <v>333</v>
      </c>
      <c r="B30" s="76" t="s">
        <v>330</v>
      </c>
      <c r="E30">
        <v>10</v>
      </c>
      <c r="F30">
        <v>6</v>
      </c>
      <c r="G30">
        <v>3</v>
      </c>
      <c r="H30">
        <v>11</v>
      </c>
    </row>
    <row r="31" spans="1:12" x14ac:dyDescent="0.2">
      <c r="E31">
        <v>11</v>
      </c>
      <c r="F31">
        <v>2</v>
      </c>
      <c r="G31">
        <v>12</v>
      </c>
      <c r="H31">
        <v>6</v>
      </c>
    </row>
    <row r="32" spans="1:12" x14ac:dyDescent="0.2">
      <c r="E32">
        <v>12</v>
      </c>
      <c r="F32">
        <v>11</v>
      </c>
      <c r="G32">
        <v>1</v>
      </c>
      <c r="H32">
        <v>7</v>
      </c>
    </row>
    <row r="40" spans="5:7" x14ac:dyDescent="0.2">
      <c r="E40">
        <v>0</v>
      </c>
      <c r="F40" t="s">
        <v>222</v>
      </c>
      <c r="G40" t="s">
        <v>223</v>
      </c>
    </row>
    <row r="41" spans="5:7" x14ac:dyDescent="0.2">
      <c r="E41">
        <f>HEX2DEC(E40)</f>
        <v>0</v>
      </c>
      <c r="F41">
        <f>HEX2DEC(F40)</f>
        <v>162</v>
      </c>
      <c r="G41">
        <f>HEX2DEC(G40)</f>
        <v>232</v>
      </c>
    </row>
  </sheetData>
  <mergeCells count="9">
    <mergeCell ref="L7:S7"/>
    <mergeCell ref="L8:S8"/>
    <mergeCell ref="L9:S9"/>
    <mergeCell ref="L1:S1"/>
    <mergeCell ref="L2:S2"/>
    <mergeCell ref="L3:S3"/>
    <mergeCell ref="L4:S4"/>
    <mergeCell ref="L5:S5"/>
    <mergeCell ref="L6:S6"/>
  </mergeCells>
  <phoneticPr fontId="1"/>
  <pageMargins left="0.7" right="0.7" top="0.75" bottom="0.75" header="0.3" footer="0.3"/>
  <pageSetup paperSize="9" orientation="portrait" horizontalDpi="4294967293" verticalDpi="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L31"/>
  <sheetViews>
    <sheetView workbookViewId="0">
      <selection activeCell="AC28" sqref="AC28:AF29"/>
    </sheetView>
  </sheetViews>
  <sheetFormatPr defaultColWidth="2.44140625" defaultRowHeight="13.2" x14ac:dyDescent="0.2"/>
  <cols>
    <col min="1" max="1" width="2.6640625" style="34" bestFit="1" customWidth="1"/>
    <col min="2" max="27" width="2.44140625" style="34"/>
    <col min="28" max="37" width="9.6640625" style="34" customWidth="1"/>
    <col min="38" max="38" width="9.77734375" style="34" customWidth="1"/>
    <col min="39" max="16384" width="2.44140625" style="34"/>
  </cols>
  <sheetData>
    <row r="1" spans="1:37" ht="13.8" customHeight="1" thickBot="1" x14ac:dyDescent="0.25">
      <c r="A1" s="22"/>
      <c r="B1" s="142">
        <v>1</v>
      </c>
      <c r="C1" s="142"/>
      <c r="D1" s="142">
        <v>2</v>
      </c>
      <c r="E1" s="142"/>
      <c r="F1" s="142">
        <v>3</v>
      </c>
      <c r="G1" s="142"/>
      <c r="H1" s="142">
        <v>4</v>
      </c>
      <c r="I1" s="142"/>
      <c r="J1" s="142">
        <v>5</v>
      </c>
      <c r="K1" s="142"/>
      <c r="L1" s="142">
        <v>6</v>
      </c>
      <c r="M1" s="142"/>
      <c r="N1" s="142">
        <v>7</v>
      </c>
      <c r="O1" s="142"/>
      <c r="P1" s="142">
        <v>8</v>
      </c>
      <c r="Q1" s="142"/>
      <c r="R1" s="142">
        <v>9</v>
      </c>
      <c r="S1" s="142"/>
      <c r="T1" s="142">
        <v>10</v>
      </c>
      <c r="U1" s="142"/>
      <c r="V1" s="25"/>
      <c r="AA1" s="35"/>
      <c r="AB1" s="175" t="s">
        <v>234</v>
      </c>
      <c r="AC1" s="170" t="s">
        <v>209</v>
      </c>
      <c r="AD1" s="33"/>
    </row>
    <row r="2" spans="1:37" ht="13.2" customHeight="1" x14ac:dyDescent="0.2">
      <c r="A2" s="139">
        <v>1</v>
      </c>
      <c r="B2" s="201"/>
      <c r="C2" s="202"/>
      <c r="D2" s="203"/>
      <c r="E2" s="203"/>
      <c r="F2" s="203"/>
      <c r="G2" s="203"/>
      <c r="H2" s="203"/>
      <c r="I2" s="203"/>
      <c r="J2" s="203"/>
      <c r="K2" s="203"/>
      <c r="L2" s="203"/>
      <c r="M2" s="203"/>
      <c r="N2" s="204"/>
      <c r="O2" s="204"/>
      <c r="P2" s="204"/>
      <c r="Q2" s="204"/>
      <c r="R2" s="204"/>
      <c r="S2" s="204"/>
      <c r="T2" s="205"/>
      <c r="U2" s="206"/>
      <c r="V2" s="141"/>
      <c r="AA2" s="35"/>
      <c r="AB2" s="175"/>
      <c r="AC2" s="171"/>
      <c r="AE2" s="188" t="s">
        <v>208</v>
      </c>
      <c r="AF2" s="170" t="s">
        <v>214</v>
      </c>
      <c r="AG2" s="170" t="s">
        <v>209</v>
      </c>
      <c r="AH2" s="170" t="s">
        <v>210</v>
      </c>
      <c r="AI2" s="170" t="s">
        <v>211</v>
      </c>
      <c r="AJ2" s="170" t="s">
        <v>212</v>
      </c>
      <c r="AK2" s="182" t="s">
        <v>213</v>
      </c>
    </row>
    <row r="3" spans="1:37" x14ac:dyDescent="0.2">
      <c r="A3" s="139"/>
      <c r="B3" s="195"/>
      <c r="C3" s="196"/>
      <c r="D3" s="193"/>
      <c r="E3" s="193"/>
      <c r="F3" s="193"/>
      <c r="G3" s="193"/>
      <c r="H3" s="193"/>
      <c r="I3" s="193"/>
      <c r="J3" s="193"/>
      <c r="K3" s="193"/>
      <c r="L3" s="193"/>
      <c r="M3" s="193"/>
      <c r="N3" s="176"/>
      <c r="O3" s="176"/>
      <c r="P3" s="176"/>
      <c r="Q3" s="176"/>
      <c r="R3" s="176"/>
      <c r="S3" s="176"/>
      <c r="T3" s="178"/>
      <c r="U3" s="179"/>
      <c r="V3" s="141"/>
      <c r="AA3" s="35"/>
      <c r="AB3" s="175" t="s">
        <v>235</v>
      </c>
      <c r="AC3" s="172">
        <v>4</v>
      </c>
      <c r="AE3" s="189"/>
      <c r="AF3" s="171"/>
      <c r="AG3" s="171"/>
      <c r="AH3" s="171"/>
      <c r="AI3" s="171"/>
      <c r="AJ3" s="171"/>
      <c r="AK3" s="173"/>
    </row>
    <row r="4" spans="1:37" ht="13.8" thickBot="1" x14ac:dyDescent="0.25">
      <c r="A4" s="139">
        <v>2</v>
      </c>
      <c r="B4" s="195"/>
      <c r="C4" s="196"/>
      <c r="D4" s="196"/>
      <c r="E4" s="196"/>
      <c r="F4" s="193"/>
      <c r="G4" s="193"/>
      <c r="H4" s="193"/>
      <c r="I4" s="193"/>
      <c r="J4" s="193"/>
      <c r="K4" s="193"/>
      <c r="L4" s="193"/>
      <c r="M4" s="193"/>
      <c r="N4" s="176"/>
      <c r="O4" s="176"/>
      <c r="P4" s="176"/>
      <c r="Q4" s="176"/>
      <c r="R4" s="178"/>
      <c r="S4" s="178"/>
      <c r="T4" s="178"/>
      <c r="U4" s="179"/>
      <c r="V4" s="141"/>
      <c r="AA4" s="35"/>
      <c r="AB4" s="175"/>
      <c r="AC4" s="172"/>
      <c r="AE4" s="52">
        <v>1</v>
      </c>
      <c r="AF4" s="53">
        <v>2</v>
      </c>
      <c r="AG4" s="53">
        <v>3</v>
      </c>
      <c r="AH4" s="53">
        <v>4</v>
      </c>
      <c r="AI4" s="53">
        <v>5</v>
      </c>
      <c r="AJ4" s="53">
        <v>6</v>
      </c>
      <c r="AK4" s="54">
        <v>7</v>
      </c>
    </row>
    <row r="5" spans="1:37" x14ac:dyDescent="0.2">
      <c r="A5" s="139"/>
      <c r="B5" s="195"/>
      <c r="C5" s="196"/>
      <c r="D5" s="196"/>
      <c r="E5" s="196"/>
      <c r="F5" s="193"/>
      <c r="G5" s="193"/>
      <c r="H5" s="193"/>
      <c r="I5" s="193"/>
      <c r="J5" s="193"/>
      <c r="K5" s="193"/>
      <c r="L5" s="193"/>
      <c r="M5" s="193"/>
      <c r="N5" s="176"/>
      <c r="O5" s="176"/>
      <c r="P5" s="176"/>
      <c r="Q5" s="176"/>
      <c r="R5" s="178"/>
      <c r="S5" s="178"/>
      <c r="T5" s="178"/>
      <c r="U5" s="179"/>
      <c r="V5" s="141"/>
      <c r="AA5" s="35"/>
      <c r="AB5" s="175" t="s">
        <v>236</v>
      </c>
      <c r="AC5" s="173" t="b">
        <v>0</v>
      </c>
    </row>
    <row r="6" spans="1:37" x14ac:dyDescent="0.2">
      <c r="A6" s="139">
        <v>3</v>
      </c>
      <c r="B6" s="195"/>
      <c r="C6" s="196"/>
      <c r="D6" s="196"/>
      <c r="E6" s="196"/>
      <c r="F6" s="193"/>
      <c r="G6" s="193"/>
      <c r="H6" s="193"/>
      <c r="I6" s="193"/>
      <c r="J6" s="193"/>
      <c r="K6" s="193"/>
      <c r="L6" s="193"/>
      <c r="M6" s="193"/>
      <c r="N6" s="176"/>
      <c r="O6" s="176"/>
      <c r="P6" s="176"/>
      <c r="Q6" s="176"/>
      <c r="R6" s="178"/>
      <c r="S6" s="178"/>
      <c r="T6" s="178"/>
      <c r="U6" s="179"/>
      <c r="V6" s="141"/>
      <c r="AA6" s="35"/>
      <c r="AB6" s="175"/>
      <c r="AC6" s="173"/>
      <c r="AE6" s="34">
        <f>HLOOKUP(AC1,AE2:AK4,3,FALSE)</f>
        <v>3</v>
      </c>
    </row>
    <row r="7" spans="1:37" x14ac:dyDescent="0.2">
      <c r="A7" s="139"/>
      <c r="B7" s="195"/>
      <c r="C7" s="196"/>
      <c r="D7" s="196"/>
      <c r="E7" s="196"/>
      <c r="F7" s="193"/>
      <c r="G7" s="193"/>
      <c r="H7" s="193"/>
      <c r="I7" s="193"/>
      <c r="J7" s="193"/>
      <c r="K7" s="193"/>
      <c r="L7" s="193"/>
      <c r="M7" s="193"/>
      <c r="N7" s="176"/>
      <c r="O7" s="176"/>
      <c r="P7" s="176"/>
      <c r="Q7" s="176"/>
      <c r="R7" s="178"/>
      <c r="S7" s="178"/>
      <c r="T7" s="178"/>
      <c r="U7" s="179"/>
      <c r="V7" s="141"/>
      <c r="AA7" s="35"/>
      <c r="AB7" s="175" t="s">
        <v>237</v>
      </c>
      <c r="AC7" s="173" t="b">
        <v>0</v>
      </c>
    </row>
    <row r="8" spans="1:37" ht="13.8" thickBot="1" x14ac:dyDescent="0.25">
      <c r="A8" s="139">
        <v>4</v>
      </c>
      <c r="B8" s="195"/>
      <c r="C8" s="196"/>
      <c r="D8" s="196"/>
      <c r="E8" s="196"/>
      <c r="F8" s="193"/>
      <c r="G8" s="193"/>
      <c r="H8" s="193"/>
      <c r="I8" s="193"/>
      <c r="J8" s="193"/>
      <c r="K8" s="193"/>
      <c r="L8" s="193"/>
      <c r="M8" s="193"/>
      <c r="N8" s="176"/>
      <c r="O8" s="176"/>
      <c r="P8" s="176"/>
      <c r="Q8" s="176"/>
      <c r="R8" s="178"/>
      <c r="S8" s="178"/>
      <c r="T8" s="178"/>
      <c r="U8" s="179"/>
      <c r="V8" s="141"/>
      <c r="AA8" s="35"/>
      <c r="AB8" s="175"/>
      <c r="AC8" s="173"/>
      <c r="AD8" s="36"/>
      <c r="AE8" s="37"/>
      <c r="AF8" s="37"/>
      <c r="AG8" s="37"/>
      <c r="AH8" s="37"/>
    </row>
    <row r="9" spans="1:37" x14ac:dyDescent="0.2">
      <c r="A9" s="139"/>
      <c r="B9" s="195"/>
      <c r="C9" s="196"/>
      <c r="D9" s="196"/>
      <c r="E9" s="196"/>
      <c r="F9" s="193"/>
      <c r="G9" s="193"/>
      <c r="H9" s="193"/>
      <c r="I9" s="193"/>
      <c r="J9" s="193"/>
      <c r="K9" s="193"/>
      <c r="L9" s="193"/>
      <c r="M9" s="193"/>
      <c r="N9" s="176"/>
      <c r="O9" s="176"/>
      <c r="P9" s="176"/>
      <c r="Q9" s="176"/>
      <c r="R9" s="178"/>
      <c r="S9" s="178"/>
      <c r="T9" s="178"/>
      <c r="U9" s="179"/>
      <c r="V9" s="141"/>
      <c r="AA9" s="35"/>
      <c r="AB9" s="175" t="s">
        <v>238</v>
      </c>
      <c r="AC9" s="174"/>
      <c r="AD9" s="164"/>
      <c r="AE9" s="166"/>
      <c r="AF9" s="166"/>
      <c r="AG9" s="164"/>
      <c r="AH9" s="168"/>
    </row>
    <row r="10" spans="1:37" x14ac:dyDescent="0.2">
      <c r="A10" s="139">
        <v>5</v>
      </c>
      <c r="B10" s="195"/>
      <c r="C10" s="196"/>
      <c r="D10" s="196"/>
      <c r="E10" s="196"/>
      <c r="F10" s="193"/>
      <c r="G10" s="193"/>
      <c r="H10" s="193"/>
      <c r="I10" s="193"/>
      <c r="J10" s="193"/>
      <c r="K10" s="193"/>
      <c r="L10" s="193"/>
      <c r="M10" s="193"/>
      <c r="N10" s="176"/>
      <c r="O10" s="176"/>
      <c r="P10" s="176"/>
      <c r="Q10" s="176"/>
      <c r="R10" s="178"/>
      <c r="S10" s="178"/>
      <c r="T10" s="178"/>
      <c r="U10" s="179"/>
      <c r="V10" s="141"/>
      <c r="AA10" s="35"/>
      <c r="AB10" s="175"/>
      <c r="AC10" s="174"/>
      <c r="AD10" s="165"/>
      <c r="AE10" s="167"/>
      <c r="AF10" s="167"/>
      <c r="AG10" s="165"/>
      <c r="AH10" s="169"/>
    </row>
    <row r="11" spans="1:37" ht="13.8" customHeight="1" thickBot="1" x14ac:dyDescent="0.25">
      <c r="A11" s="139"/>
      <c r="B11" s="195"/>
      <c r="C11" s="196"/>
      <c r="D11" s="196"/>
      <c r="E11" s="196"/>
      <c r="F11" s="193"/>
      <c r="G11" s="193"/>
      <c r="H11" s="193"/>
      <c r="I11" s="193"/>
      <c r="J11" s="193"/>
      <c r="K11" s="193"/>
      <c r="L11" s="193"/>
      <c r="M11" s="193"/>
      <c r="N11" s="176"/>
      <c r="O11" s="176"/>
      <c r="P11" s="176"/>
      <c r="Q11" s="176"/>
      <c r="R11" s="178"/>
      <c r="S11" s="178"/>
      <c r="T11" s="178"/>
      <c r="U11" s="179"/>
      <c r="V11" s="141"/>
      <c r="Z11" s="37"/>
      <c r="AA11" s="38"/>
      <c r="AB11" s="175" t="s">
        <v>239</v>
      </c>
      <c r="AC11" s="185"/>
      <c r="AD11" s="186"/>
      <c r="AE11" s="185"/>
      <c r="AF11" s="186"/>
      <c r="AG11" s="183"/>
      <c r="AH11" s="184"/>
    </row>
    <row r="12" spans="1:37" ht="13.8" customHeight="1" thickBot="1" x14ac:dyDescent="0.25">
      <c r="A12" s="139">
        <v>6</v>
      </c>
      <c r="B12" s="195"/>
      <c r="C12" s="196"/>
      <c r="D12" s="193"/>
      <c r="E12" s="193"/>
      <c r="F12" s="193"/>
      <c r="G12" s="193"/>
      <c r="H12" s="193"/>
      <c r="I12" s="193"/>
      <c r="J12" s="193"/>
      <c r="K12" s="193"/>
      <c r="L12" s="193"/>
      <c r="M12" s="193"/>
      <c r="N12" s="176"/>
      <c r="O12" s="176"/>
      <c r="P12" s="176"/>
      <c r="Q12" s="176"/>
      <c r="R12" s="176"/>
      <c r="S12" s="176"/>
      <c r="T12" s="178"/>
      <c r="U12" s="179"/>
      <c r="V12" s="141"/>
      <c r="Y12" s="35"/>
      <c r="AA12" s="35"/>
      <c r="AB12" s="175"/>
      <c r="AC12" s="185"/>
      <c r="AD12" s="186"/>
      <c r="AE12" s="185"/>
      <c r="AF12" s="186"/>
      <c r="AG12" s="187"/>
      <c r="AH12" s="191"/>
    </row>
    <row r="13" spans="1:37" ht="13.8" thickBot="1" x14ac:dyDescent="0.25">
      <c r="A13" s="139"/>
      <c r="B13" s="197"/>
      <c r="C13" s="198"/>
      <c r="D13" s="194"/>
      <c r="E13" s="194"/>
      <c r="F13" s="194"/>
      <c r="G13" s="194"/>
      <c r="H13" s="194"/>
      <c r="I13" s="194"/>
      <c r="J13" s="194"/>
      <c r="K13" s="194"/>
      <c r="L13" s="194"/>
      <c r="M13" s="194"/>
      <c r="N13" s="177"/>
      <c r="O13" s="177"/>
      <c r="P13" s="177"/>
      <c r="Q13" s="177"/>
      <c r="R13" s="177"/>
      <c r="S13" s="177"/>
      <c r="T13" s="180"/>
      <c r="U13" s="181"/>
      <c r="V13" s="141"/>
      <c r="Y13" s="35"/>
      <c r="AA13" s="35"/>
      <c r="AB13" s="175" t="s">
        <v>240</v>
      </c>
      <c r="AC13" s="165"/>
      <c r="AD13" s="190"/>
    </row>
    <row r="14" spans="1:37" ht="13.8" thickBot="1" x14ac:dyDescent="0.25">
      <c r="A14" s="23"/>
      <c r="B14" s="140"/>
      <c r="C14" s="140"/>
      <c r="D14" s="140"/>
      <c r="E14" s="140"/>
      <c r="F14" s="140"/>
      <c r="G14" s="140"/>
      <c r="H14" s="140"/>
      <c r="I14" s="140"/>
      <c r="J14" s="140"/>
      <c r="K14" s="140"/>
      <c r="L14" s="140"/>
      <c r="M14" s="140"/>
      <c r="N14" s="140"/>
      <c r="O14" s="140"/>
      <c r="P14" s="140"/>
      <c r="Q14" s="140"/>
      <c r="R14" s="140"/>
      <c r="S14" s="140"/>
      <c r="T14" s="140"/>
      <c r="U14" s="140"/>
      <c r="V14" s="24"/>
      <c r="Y14" s="35"/>
      <c r="Z14" s="30"/>
      <c r="AA14" s="32"/>
      <c r="AB14" s="175"/>
      <c r="AC14" s="165"/>
      <c r="AD14" s="190"/>
    </row>
    <row r="15" spans="1:37" ht="13.8" thickBot="1" x14ac:dyDescent="0.25">
      <c r="L15" s="50"/>
      <c r="Y15" s="35"/>
      <c r="Z15" s="36"/>
      <c r="AA15" s="38"/>
      <c r="AB15" s="175" t="s">
        <v>241</v>
      </c>
      <c r="AC15" s="165"/>
      <c r="AD15" s="190"/>
      <c r="AF15" s="29" t="s">
        <v>91</v>
      </c>
      <c r="AG15" s="55" t="s">
        <v>92</v>
      </c>
      <c r="AH15" s="55" t="s">
        <v>101</v>
      </c>
      <c r="AI15" s="55" t="s">
        <v>93</v>
      </c>
      <c r="AJ15" s="55" t="s">
        <v>90</v>
      </c>
      <c r="AK15" s="56" t="s">
        <v>94</v>
      </c>
    </row>
    <row r="16" spans="1:37" ht="13.8" thickBot="1" x14ac:dyDescent="0.25">
      <c r="L16" s="50"/>
      <c r="Y16" s="35"/>
      <c r="Z16" s="33"/>
      <c r="AA16" s="35"/>
      <c r="AB16" s="175"/>
      <c r="AC16" s="165"/>
      <c r="AD16" s="190"/>
      <c r="AF16" s="27">
        <v>1</v>
      </c>
      <c r="AG16" s="57">
        <v>2</v>
      </c>
      <c r="AH16" s="57">
        <v>3</v>
      </c>
      <c r="AI16" s="57">
        <v>4</v>
      </c>
      <c r="AJ16" s="57">
        <v>5</v>
      </c>
      <c r="AK16" s="51">
        <v>6</v>
      </c>
    </row>
    <row r="17" spans="1:38" ht="13.8" thickBot="1" x14ac:dyDescent="0.25">
      <c r="L17" s="50"/>
      <c r="N17" s="158" t="s">
        <v>252</v>
      </c>
      <c r="O17" s="159"/>
      <c r="P17" s="159"/>
      <c r="Q17" s="159"/>
      <c r="R17" s="159"/>
      <c r="S17" s="159"/>
      <c r="T17" s="159"/>
      <c r="U17" s="159"/>
      <c r="V17" s="159"/>
      <c r="W17" s="160"/>
      <c r="X17" s="36"/>
      <c r="Y17" s="38"/>
      <c r="Z17" s="36"/>
      <c r="AA17" s="38"/>
      <c r="AB17" s="175" t="s">
        <v>242</v>
      </c>
      <c r="AC17" s="165"/>
      <c r="AD17" s="190"/>
      <c r="AF17" s="27" t="s">
        <v>95</v>
      </c>
      <c r="AG17" s="57" t="s">
        <v>100</v>
      </c>
      <c r="AH17" s="57" t="s">
        <v>96</v>
      </c>
      <c r="AI17" s="57" t="s">
        <v>97</v>
      </c>
      <c r="AJ17" s="57" t="s">
        <v>98</v>
      </c>
      <c r="AK17" s="51" t="s">
        <v>97</v>
      </c>
    </row>
    <row r="18" spans="1:38" ht="13.8" thickBot="1" x14ac:dyDescent="0.25">
      <c r="L18" s="50"/>
      <c r="N18" s="161"/>
      <c r="O18" s="162"/>
      <c r="P18" s="162"/>
      <c r="Q18" s="162"/>
      <c r="R18" s="162"/>
      <c r="S18" s="162"/>
      <c r="T18" s="162"/>
      <c r="U18" s="162"/>
      <c r="V18" s="162"/>
      <c r="W18" s="163"/>
      <c r="Y18" s="35"/>
      <c r="Z18" s="33"/>
      <c r="AA18" s="35"/>
      <c r="AB18" s="175"/>
      <c r="AC18" s="165"/>
      <c r="AD18" s="190"/>
      <c r="AF18" s="28">
        <v>7</v>
      </c>
      <c r="AG18" s="58">
        <v>8</v>
      </c>
      <c r="AH18" s="58">
        <v>9</v>
      </c>
      <c r="AI18" s="58">
        <v>10</v>
      </c>
      <c r="AJ18" s="58">
        <v>11</v>
      </c>
      <c r="AK18" s="59">
        <v>12</v>
      </c>
    </row>
    <row r="19" spans="1:38" ht="13.8" thickBot="1" x14ac:dyDescent="0.25">
      <c r="A19" s="49"/>
      <c r="B19" s="11"/>
      <c r="C19" s="11"/>
      <c r="D19" s="49"/>
      <c r="E19" s="11"/>
      <c r="F19" s="49"/>
      <c r="I19" s="11"/>
      <c r="J19" s="49"/>
      <c r="L19" s="11"/>
      <c r="M19" s="49"/>
      <c r="O19" s="49"/>
      <c r="Y19" s="35"/>
      <c r="Z19" s="36"/>
      <c r="AA19" s="38"/>
      <c r="AB19" s="175" t="s">
        <v>243</v>
      </c>
      <c r="AC19" s="165"/>
      <c r="AD19" s="190"/>
    </row>
    <row r="20" spans="1:38" x14ac:dyDescent="0.2">
      <c r="A20" s="11"/>
      <c r="B20" s="13" t="s">
        <v>0</v>
      </c>
      <c r="C20" s="49"/>
      <c r="D20" s="49"/>
      <c r="E20" s="11"/>
      <c r="F20" s="49"/>
      <c r="I20" s="11"/>
      <c r="J20" s="49"/>
      <c r="L20" s="11"/>
      <c r="M20" s="13" t="s">
        <v>3</v>
      </c>
      <c r="O20" s="49"/>
      <c r="P20" s="11"/>
      <c r="Q20" s="11"/>
      <c r="S20" s="11"/>
      <c r="T20" s="11"/>
      <c r="U20" s="11"/>
      <c r="Y20" s="35"/>
      <c r="AA20" s="35"/>
      <c r="AB20" s="175"/>
      <c r="AC20" s="165"/>
      <c r="AD20" s="190"/>
    </row>
    <row r="21" spans="1:38" ht="13.8" thickBot="1" x14ac:dyDescent="0.25">
      <c r="A21" s="49"/>
      <c r="B21" s="11"/>
      <c r="C21" s="49"/>
      <c r="D21" s="49"/>
      <c r="E21" s="13" t="s">
        <v>1</v>
      </c>
      <c r="F21" s="49"/>
      <c r="I21" s="13" t="s">
        <v>2</v>
      </c>
      <c r="J21" s="49"/>
      <c r="L21" s="49"/>
      <c r="M21" s="11"/>
      <c r="O21" s="49"/>
      <c r="P21" s="13" t="s">
        <v>4</v>
      </c>
      <c r="Q21" s="11"/>
      <c r="S21" s="49"/>
      <c r="T21" s="13" t="s">
        <v>5</v>
      </c>
      <c r="U21" s="49"/>
      <c r="Y21" s="35"/>
      <c r="Z21" s="36"/>
      <c r="AA21" s="38"/>
      <c r="AB21" s="175" t="s">
        <v>244</v>
      </c>
      <c r="AC21" s="165"/>
      <c r="AD21" s="190"/>
      <c r="AG21" s="165" t="s">
        <v>268</v>
      </c>
      <c r="AH21" s="165"/>
    </row>
    <row r="22" spans="1:38" ht="13.8" thickBot="1" x14ac:dyDescent="0.25">
      <c r="A22" s="49"/>
      <c r="B22" s="49"/>
      <c r="C22" s="49"/>
      <c r="D22" s="49"/>
      <c r="E22" s="11"/>
      <c r="F22" s="49"/>
      <c r="I22" s="11"/>
      <c r="J22" s="11"/>
      <c r="L22" s="49"/>
      <c r="M22" s="11"/>
      <c r="N22" s="49"/>
      <c r="O22" s="49"/>
      <c r="P22" s="11"/>
      <c r="Q22" s="49"/>
      <c r="R22" s="49"/>
      <c r="S22" s="49"/>
      <c r="T22" s="11"/>
      <c r="U22" s="49"/>
      <c r="AA22" s="35"/>
      <c r="AB22" s="175"/>
      <c r="AC22" s="165"/>
      <c r="AD22" s="190"/>
      <c r="AE22" s="37"/>
      <c r="AF22" s="37"/>
      <c r="AG22" s="165"/>
      <c r="AH22" s="165"/>
      <c r="AI22" s="37"/>
      <c r="AJ22" s="37"/>
      <c r="AK22" s="37"/>
      <c r="AL22" s="37"/>
    </row>
    <row r="23" spans="1:38" ht="13.2" customHeight="1" x14ac:dyDescent="0.2">
      <c r="A23" s="49"/>
      <c r="B23" s="49"/>
      <c r="C23" s="49"/>
      <c r="D23" s="49"/>
      <c r="E23" s="11"/>
      <c r="F23" s="49"/>
      <c r="G23" s="12"/>
      <c r="H23" s="12"/>
      <c r="I23" s="49"/>
      <c r="J23" s="49"/>
      <c r="K23" s="49"/>
      <c r="L23" s="49"/>
      <c r="M23" s="49"/>
      <c r="N23" s="49"/>
      <c r="O23" s="49"/>
      <c r="P23" s="49"/>
      <c r="Q23" s="49"/>
      <c r="R23" s="49"/>
      <c r="AA23" s="35"/>
      <c r="AB23" s="189" t="s">
        <v>245</v>
      </c>
      <c r="AC23" s="165" t="s">
        <v>357</v>
      </c>
      <c r="AD23" s="165"/>
      <c r="AE23" s="165" t="s">
        <v>358</v>
      </c>
      <c r="AF23" s="165"/>
      <c r="AG23" s="165"/>
      <c r="AH23" s="165"/>
      <c r="AI23" s="165"/>
      <c r="AJ23" s="165"/>
      <c r="AK23" s="183"/>
      <c r="AL23" s="184"/>
    </row>
    <row r="24" spans="1:38" ht="13.2" customHeight="1" x14ac:dyDescent="0.2">
      <c r="A24" s="49"/>
      <c r="B24" s="49"/>
      <c r="C24" s="49"/>
      <c r="D24" s="49"/>
      <c r="E24" s="12"/>
      <c r="F24" s="49"/>
      <c r="G24" s="49"/>
      <c r="H24" s="49"/>
      <c r="I24" s="49"/>
      <c r="J24" s="49"/>
      <c r="K24" s="49"/>
      <c r="L24" s="49"/>
      <c r="M24" s="49"/>
      <c r="N24" s="49"/>
      <c r="O24" s="49"/>
      <c r="P24" s="49"/>
      <c r="Q24" s="49"/>
      <c r="R24" s="49"/>
      <c r="AA24" s="35"/>
      <c r="AB24" s="189"/>
      <c r="AC24" s="165"/>
      <c r="AD24" s="165"/>
      <c r="AE24" s="165"/>
      <c r="AF24" s="165"/>
      <c r="AG24" s="165"/>
      <c r="AH24" s="165"/>
      <c r="AI24" s="165"/>
      <c r="AJ24" s="165"/>
      <c r="AK24" s="185"/>
      <c r="AL24" s="186"/>
    </row>
    <row r="25" spans="1:38" ht="13.2" customHeight="1" x14ac:dyDescent="0.2">
      <c r="A25" s="11"/>
      <c r="B25" s="49"/>
      <c r="C25" s="11"/>
      <c r="D25" s="49"/>
      <c r="E25" s="11"/>
      <c r="F25" s="49"/>
      <c r="G25" s="49"/>
      <c r="H25" s="11"/>
      <c r="I25" s="11"/>
      <c r="J25" s="49"/>
      <c r="K25" s="49"/>
      <c r="L25" s="49"/>
      <c r="M25" s="11"/>
      <c r="N25" s="49"/>
      <c r="O25" s="49"/>
      <c r="P25" s="49"/>
      <c r="Q25" s="11"/>
      <c r="R25" s="49"/>
      <c r="S25" s="49"/>
      <c r="T25" s="11"/>
      <c r="U25" s="11"/>
      <c r="AA25" s="35"/>
      <c r="AB25" s="189"/>
      <c r="AC25" s="185"/>
      <c r="AD25" s="185"/>
      <c r="AE25" s="185"/>
      <c r="AF25" s="185"/>
      <c r="AG25" s="185"/>
      <c r="AH25" s="185"/>
      <c r="AI25" s="185"/>
      <c r="AJ25" s="185"/>
      <c r="AK25" s="185"/>
      <c r="AL25" s="185"/>
    </row>
    <row r="26" spans="1:38" ht="13.8" customHeight="1" thickBot="1" x14ac:dyDescent="0.25">
      <c r="A26" s="11"/>
      <c r="B26" s="13" t="s">
        <v>6</v>
      </c>
      <c r="C26" s="11"/>
      <c r="D26" s="49"/>
      <c r="E26" s="11"/>
      <c r="F26" s="49"/>
      <c r="G26" s="49"/>
      <c r="H26" s="49"/>
      <c r="I26" s="13" t="s">
        <v>8</v>
      </c>
      <c r="J26" s="11"/>
      <c r="K26" s="49"/>
      <c r="L26" s="11"/>
      <c r="M26" s="13" t="s">
        <v>9</v>
      </c>
      <c r="N26" s="11"/>
      <c r="O26" s="49"/>
      <c r="P26" s="11"/>
      <c r="Q26" s="13" t="s">
        <v>10</v>
      </c>
      <c r="R26" s="49"/>
      <c r="S26" s="49"/>
      <c r="T26" s="13" t="s">
        <v>11</v>
      </c>
      <c r="U26" s="49"/>
      <c r="AA26" s="35"/>
      <c r="AB26" s="192"/>
      <c r="AC26" s="187"/>
      <c r="AD26" s="187"/>
      <c r="AE26" s="187"/>
      <c r="AF26" s="187"/>
      <c r="AG26" s="187"/>
      <c r="AH26" s="187"/>
      <c r="AI26" s="187"/>
      <c r="AJ26" s="187"/>
      <c r="AK26" s="187"/>
      <c r="AL26" s="187"/>
    </row>
    <row r="27" spans="1:38" x14ac:dyDescent="0.2">
      <c r="A27" s="49"/>
      <c r="B27" s="49"/>
      <c r="C27" s="49"/>
      <c r="D27" s="49"/>
      <c r="E27" s="13" t="s">
        <v>7</v>
      </c>
      <c r="F27" s="11"/>
      <c r="G27" s="11"/>
      <c r="H27" s="49"/>
      <c r="I27" s="49"/>
      <c r="J27" s="11"/>
      <c r="K27" s="49"/>
      <c r="L27" s="49"/>
      <c r="M27" s="11"/>
      <c r="N27" s="49"/>
      <c r="O27" s="49"/>
      <c r="P27" s="49"/>
      <c r="Q27" s="11"/>
      <c r="R27" s="49"/>
      <c r="S27" s="11"/>
      <c r="T27" s="11"/>
      <c r="U27" s="49"/>
    </row>
    <row r="28" spans="1:38" ht="13.2" customHeight="1" x14ac:dyDescent="0.2">
      <c r="A28" s="49"/>
      <c r="B28" s="49"/>
      <c r="C28" s="49"/>
      <c r="D28" s="49"/>
      <c r="E28" s="49"/>
      <c r="F28" s="49"/>
      <c r="G28" s="49"/>
      <c r="H28" s="49"/>
      <c r="I28" s="49"/>
      <c r="J28" s="49"/>
      <c r="K28" s="49"/>
      <c r="L28" s="49"/>
      <c r="M28" s="49"/>
      <c r="N28" s="49"/>
      <c r="O28" s="49"/>
      <c r="P28" s="49"/>
      <c r="Q28" s="11"/>
      <c r="R28" s="49"/>
      <c r="AC28" s="199" t="s">
        <v>363</v>
      </c>
      <c r="AD28" s="200"/>
      <c r="AE28" s="200"/>
      <c r="AF28" s="200"/>
    </row>
    <row r="29" spans="1:38" ht="13.2" customHeight="1" x14ac:dyDescent="0.2">
      <c r="D29" s="49"/>
      <c r="E29" s="49"/>
      <c r="F29" s="49"/>
      <c r="G29" s="49"/>
      <c r="H29" s="49"/>
      <c r="I29" s="49"/>
      <c r="J29" s="49"/>
      <c r="K29" s="49"/>
      <c r="L29" s="49"/>
      <c r="M29" s="49"/>
      <c r="N29" s="49"/>
      <c r="O29" s="49"/>
      <c r="P29" s="49"/>
      <c r="Q29" s="12"/>
      <c r="R29" s="49"/>
      <c r="AC29" s="199"/>
      <c r="AD29" s="200"/>
      <c r="AE29" s="200"/>
      <c r="AF29" s="200"/>
    </row>
    <row r="30" spans="1:38" x14ac:dyDescent="0.2">
      <c r="D30" s="49"/>
      <c r="E30" s="49"/>
      <c r="F30" s="49"/>
      <c r="G30" s="49"/>
      <c r="H30" s="49"/>
      <c r="I30" s="49"/>
      <c r="J30" s="49"/>
      <c r="K30" s="49"/>
      <c r="L30" s="49"/>
      <c r="M30" s="49"/>
      <c r="N30" s="49"/>
      <c r="O30" s="49"/>
      <c r="P30" s="49"/>
      <c r="Q30" s="49"/>
      <c r="R30" s="49"/>
    </row>
    <row r="31" spans="1:38" x14ac:dyDescent="0.2">
      <c r="D31" s="49"/>
      <c r="E31" s="49"/>
      <c r="F31" s="49"/>
      <c r="G31" s="49"/>
      <c r="H31" s="49"/>
      <c r="I31" s="49"/>
      <c r="J31" s="49"/>
      <c r="K31" s="49"/>
      <c r="L31" s="49"/>
      <c r="M31" s="49"/>
      <c r="N31" s="49"/>
      <c r="O31" s="49"/>
      <c r="P31" s="49"/>
      <c r="Q31" s="49"/>
      <c r="R31" s="49"/>
    </row>
  </sheetData>
  <mergeCells count="147">
    <mergeCell ref="AC28:AF29"/>
    <mergeCell ref="A2:A3"/>
    <mergeCell ref="B2:C3"/>
    <mergeCell ref="D2:E3"/>
    <mergeCell ref="F2:G3"/>
    <mergeCell ref="H2:I3"/>
    <mergeCell ref="J2:K3"/>
    <mergeCell ref="B1:C1"/>
    <mergeCell ref="D1:E1"/>
    <mergeCell ref="F1:G1"/>
    <mergeCell ref="H1:I1"/>
    <mergeCell ref="J1:K1"/>
    <mergeCell ref="L2:M3"/>
    <mergeCell ref="N2:O3"/>
    <mergeCell ref="P2:Q3"/>
    <mergeCell ref="R2:S3"/>
    <mergeCell ref="T2:U3"/>
    <mergeCell ref="V2:V3"/>
    <mergeCell ref="N1:O1"/>
    <mergeCell ref="P1:Q1"/>
    <mergeCell ref="R1:S1"/>
    <mergeCell ref="T1:U1"/>
    <mergeCell ref="L1:M1"/>
    <mergeCell ref="L4:M5"/>
    <mergeCell ref="N4:O5"/>
    <mergeCell ref="P4:Q5"/>
    <mergeCell ref="R4:S5"/>
    <mergeCell ref="T4:U5"/>
    <mergeCell ref="V4:V5"/>
    <mergeCell ref="A4:A5"/>
    <mergeCell ref="B4:C5"/>
    <mergeCell ref="D4:E5"/>
    <mergeCell ref="F4:G5"/>
    <mergeCell ref="H4:I5"/>
    <mergeCell ref="J4:K5"/>
    <mergeCell ref="L6:M7"/>
    <mergeCell ref="N6:O7"/>
    <mergeCell ref="P6:Q7"/>
    <mergeCell ref="R6:S7"/>
    <mergeCell ref="T6:U7"/>
    <mergeCell ref="V6:V7"/>
    <mergeCell ref="A6:A7"/>
    <mergeCell ref="B6:C7"/>
    <mergeCell ref="D6:E7"/>
    <mergeCell ref="F6:G7"/>
    <mergeCell ref="H6:I7"/>
    <mergeCell ref="J6:K7"/>
    <mergeCell ref="T10:U11"/>
    <mergeCell ref="V10:V11"/>
    <mergeCell ref="A10:A11"/>
    <mergeCell ref="B10:C11"/>
    <mergeCell ref="D10:E11"/>
    <mergeCell ref="F10:G11"/>
    <mergeCell ref="H10:I11"/>
    <mergeCell ref="J10:K11"/>
    <mergeCell ref="L8:M9"/>
    <mergeCell ref="N8:O9"/>
    <mergeCell ref="P8:Q9"/>
    <mergeCell ref="R8:S9"/>
    <mergeCell ref="T8:U9"/>
    <mergeCell ref="V8:V9"/>
    <mergeCell ref="A8:A9"/>
    <mergeCell ref="B8:C9"/>
    <mergeCell ref="D8:E9"/>
    <mergeCell ref="F8:G9"/>
    <mergeCell ref="H8:I9"/>
    <mergeCell ref="J8:K9"/>
    <mergeCell ref="A12:A13"/>
    <mergeCell ref="B12:C13"/>
    <mergeCell ref="D12:E13"/>
    <mergeCell ref="F12:G13"/>
    <mergeCell ref="H12:I13"/>
    <mergeCell ref="J12:K13"/>
    <mergeCell ref="L10:M11"/>
    <mergeCell ref="N10:O11"/>
    <mergeCell ref="P10:Q11"/>
    <mergeCell ref="B14:C14"/>
    <mergeCell ref="D14:E14"/>
    <mergeCell ref="F14:G14"/>
    <mergeCell ref="H14:I14"/>
    <mergeCell ref="J14:K14"/>
    <mergeCell ref="L14:M14"/>
    <mergeCell ref="L12:M13"/>
    <mergeCell ref="N12:O13"/>
    <mergeCell ref="P12:Q13"/>
    <mergeCell ref="AC21:AD22"/>
    <mergeCell ref="AC11:AD12"/>
    <mergeCell ref="AE11:AF12"/>
    <mergeCell ref="AG11:AH12"/>
    <mergeCell ref="AB23:AB26"/>
    <mergeCell ref="AC23:AD24"/>
    <mergeCell ref="AC25:AC26"/>
    <mergeCell ref="AE25:AE26"/>
    <mergeCell ref="AC13:AD14"/>
    <mergeCell ref="AC15:AD16"/>
    <mergeCell ref="AC17:AD18"/>
    <mergeCell ref="AC19:AD20"/>
    <mergeCell ref="AB13:AB14"/>
    <mergeCell ref="AB15:AB16"/>
    <mergeCell ref="AB17:AB18"/>
    <mergeCell ref="AB19:AB20"/>
    <mergeCell ref="AB21:AB22"/>
    <mergeCell ref="AB11:AB12"/>
    <mergeCell ref="AG21:AH22"/>
    <mergeCell ref="AD25:AD26"/>
    <mergeCell ref="AK2:AK3"/>
    <mergeCell ref="AJ2:AJ3"/>
    <mergeCell ref="AI2:AI3"/>
    <mergeCell ref="AH2:AH3"/>
    <mergeCell ref="AE23:AF24"/>
    <mergeCell ref="AG23:AH24"/>
    <mergeCell ref="AI23:AJ24"/>
    <mergeCell ref="AK23:AL24"/>
    <mergeCell ref="AL25:AL26"/>
    <mergeCell ref="AF25:AF26"/>
    <mergeCell ref="AG25:AG26"/>
    <mergeCell ref="AH25:AH26"/>
    <mergeCell ref="AI25:AI26"/>
    <mergeCell ref="AJ25:AJ26"/>
    <mergeCell ref="AK25:AK26"/>
    <mergeCell ref="AG2:AG3"/>
    <mergeCell ref="AF2:AF3"/>
    <mergeCell ref="AE2:AE3"/>
    <mergeCell ref="N17:W18"/>
    <mergeCell ref="AD9:AD10"/>
    <mergeCell ref="AE9:AE10"/>
    <mergeCell ref="AF9:AF10"/>
    <mergeCell ref="AG9:AG10"/>
    <mergeCell ref="AH9:AH10"/>
    <mergeCell ref="AC1:AC2"/>
    <mergeCell ref="AC3:AC4"/>
    <mergeCell ref="AC5:AC6"/>
    <mergeCell ref="AC7:AC8"/>
    <mergeCell ref="AC9:AC10"/>
    <mergeCell ref="N14:O14"/>
    <mergeCell ref="P14:Q14"/>
    <mergeCell ref="R14:S14"/>
    <mergeCell ref="T14:U14"/>
    <mergeCell ref="AB1:AB2"/>
    <mergeCell ref="AB3:AB4"/>
    <mergeCell ref="AB5:AB6"/>
    <mergeCell ref="AB7:AB8"/>
    <mergeCell ref="AB9:AB10"/>
    <mergeCell ref="R12:S13"/>
    <mergeCell ref="T12:U13"/>
    <mergeCell ref="V12:V13"/>
    <mergeCell ref="R10:S11"/>
  </mergeCells>
  <phoneticPr fontId="1"/>
  <pageMargins left="0.7" right="0.7" top="0.75" bottom="0.75" header="0.3" footer="0.3"/>
  <pageSetup paperSize="9" orientation="portrait" horizontalDpi="4294967293"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41"/>
  <sheetViews>
    <sheetView topLeftCell="A25" zoomScale="70" zoomScaleNormal="70" workbookViewId="0">
      <selection activeCell="G38" sqref="G38"/>
    </sheetView>
  </sheetViews>
  <sheetFormatPr defaultRowHeight="13.2" x14ac:dyDescent="0.2"/>
  <cols>
    <col min="1" max="5" width="8.88671875" style="47"/>
    <col min="6" max="6" width="21.88671875" style="60" bestFit="1" customWidth="1"/>
    <col min="7" max="7" width="19.33203125" style="60" bestFit="1" customWidth="1"/>
    <col min="8" max="11" width="10.77734375" style="60" bestFit="1" customWidth="1"/>
    <col min="12" max="12" width="69.88671875" style="60" bestFit="1" customWidth="1"/>
    <col min="13" max="13" width="22.21875" customWidth="1"/>
    <col min="14" max="14" width="10.77734375" customWidth="1"/>
  </cols>
  <sheetData>
    <row r="1" spans="1:13" x14ac:dyDescent="0.2">
      <c r="A1" s="47" t="s">
        <v>224</v>
      </c>
      <c r="B1" s="47" t="s">
        <v>225</v>
      </c>
      <c r="C1" s="47" t="s">
        <v>233</v>
      </c>
      <c r="D1" s="47" t="s">
        <v>226</v>
      </c>
      <c r="E1" s="47" t="s">
        <v>227</v>
      </c>
      <c r="F1" s="60" t="s">
        <v>247</v>
      </c>
      <c r="G1" s="60" t="s">
        <v>248</v>
      </c>
      <c r="H1" s="60" t="s">
        <v>246</v>
      </c>
      <c r="I1" s="60" t="s">
        <v>228</v>
      </c>
      <c r="J1" s="60" t="s">
        <v>229</v>
      </c>
      <c r="K1" s="60" t="s">
        <v>230</v>
      </c>
      <c r="L1" s="60" t="s">
        <v>232</v>
      </c>
      <c r="M1" s="34"/>
    </row>
    <row r="2" spans="1:13" x14ac:dyDescent="0.2">
      <c r="A2" s="47" t="s">
        <v>208</v>
      </c>
      <c r="B2" s="47">
        <v>1</v>
      </c>
      <c r="C2" s="47" t="b">
        <v>0</v>
      </c>
      <c r="D2" s="47" t="b">
        <v>0</v>
      </c>
      <c r="E2" s="47">
        <v>0</v>
      </c>
      <c r="F2" s="60">
        <v>0</v>
      </c>
      <c r="G2" s="60" t="s">
        <v>253</v>
      </c>
      <c r="H2" s="60" t="s">
        <v>254</v>
      </c>
      <c r="I2" s="60" t="s">
        <v>255</v>
      </c>
      <c r="J2" s="60" t="s">
        <v>256</v>
      </c>
      <c r="K2" s="60" t="s">
        <v>257</v>
      </c>
      <c r="L2" s="60" t="s">
        <v>258</v>
      </c>
      <c r="M2" s="34"/>
    </row>
    <row r="3" spans="1:13" x14ac:dyDescent="0.2">
      <c r="B3" s="47">
        <v>2</v>
      </c>
      <c r="C3" s="47" t="b">
        <v>0</v>
      </c>
      <c r="D3" s="47" t="b">
        <v>0</v>
      </c>
      <c r="E3" s="47">
        <v>0</v>
      </c>
      <c r="F3" s="60">
        <v>0</v>
      </c>
      <c r="L3" s="60" t="s">
        <v>273</v>
      </c>
      <c r="M3" s="34"/>
    </row>
    <row r="4" spans="1:13" x14ac:dyDescent="0.2">
      <c r="B4" s="47">
        <v>3</v>
      </c>
      <c r="C4" s="47" t="b">
        <v>0</v>
      </c>
      <c r="D4" s="47" t="b">
        <v>0</v>
      </c>
      <c r="E4" s="47">
        <v>0</v>
      </c>
      <c r="F4" s="60">
        <v>0</v>
      </c>
      <c r="L4" s="60" t="s">
        <v>259</v>
      </c>
      <c r="M4" s="34"/>
    </row>
    <row r="5" spans="1:13" x14ac:dyDescent="0.2">
      <c r="B5" s="47">
        <v>4</v>
      </c>
      <c r="C5" s="47" t="b">
        <v>0</v>
      </c>
      <c r="D5" s="47" t="b">
        <v>0</v>
      </c>
      <c r="E5" s="47">
        <v>0</v>
      </c>
      <c r="F5" s="60">
        <v>0</v>
      </c>
      <c r="L5" s="60" t="s">
        <v>260</v>
      </c>
      <c r="M5" s="34"/>
    </row>
    <row r="6" spans="1:13" x14ac:dyDescent="0.2">
      <c r="B6" s="47">
        <v>5</v>
      </c>
      <c r="C6" s="47" t="b">
        <v>0</v>
      </c>
      <c r="D6" s="47" t="b">
        <v>0</v>
      </c>
      <c r="E6" s="47">
        <v>0</v>
      </c>
      <c r="F6" s="60">
        <v>0</v>
      </c>
      <c r="L6" s="60" t="s">
        <v>261</v>
      </c>
      <c r="M6" s="34"/>
    </row>
    <row r="7" spans="1:13" x14ac:dyDescent="0.2">
      <c r="B7" s="47">
        <v>6</v>
      </c>
      <c r="C7" s="47" t="b">
        <v>0</v>
      </c>
      <c r="D7" s="47" t="b">
        <v>0</v>
      </c>
      <c r="E7" s="47">
        <v>0</v>
      </c>
      <c r="F7" s="60" t="s">
        <v>249</v>
      </c>
      <c r="L7" s="60" t="s">
        <v>262</v>
      </c>
      <c r="M7" s="34"/>
    </row>
    <row r="8" spans="1:13" x14ac:dyDescent="0.2">
      <c r="B8" s="47">
        <v>7</v>
      </c>
      <c r="C8" s="47" t="b">
        <v>0</v>
      </c>
      <c r="D8" s="47" t="b">
        <v>0</v>
      </c>
      <c r="E8" s="47">
        <v>0</v>
      </c>
      <c r="F8" s="60" t="s">
        <v>250</v>
      </c>
      <c r="L8" s="60" t="s">
        <v>262</v>
      </c>
      <c r="M8" s="34"/>
    </row>
    <row r="9" spans="1:13" x14ac:dyDescent="0.2">
      <c r="B9" s="47">
        <v>8</v>
      </c>
      <c r="C9" s="47" t="b">
        <v>0</v>
      </c>
      <c r="D9" s="47" t="b">
        <v>0</v>
      </c>
      <c r="E9" s="47">
        <v>0</v>
      </c>
      <c r="F9" s="60">
        <v>12060405</v>
      </c>
      <c r="L9" s="60" t="s">
        <v>262</v>
      </c>
      <c r="M9" s="34"/>
    </row>
    <row r="10" spans="1:13" x14ac:dyDescent="0.2">
      <c r="B10" s="47">
        <v>9</v>
      </c>
      <c r="C10" s="47" t="b">
        <v>0</v>
      </c>
      <c r="D10" s="47" t="b">
        <v>0</v>
      </c>
      <c r="E10" s="47">
        <v>0</v>
      </c>
      <c r="F10" s="60">
        <v>10060200</v>
      </c>
      <c r="L10" s="60" t="s">
        <v>263</v>
      </c>
      <c r="M10" s="34"/>
    </row>
    <row r="11" spans="1:13" x14ac:dyDescent="0.2">
      <c r="B11" s="47">
        <v>10</v>
      </c>
      <c r="C11" s="47" t="b">
        <v>0</v>
      </c>
      <c r="D11" s="47" t="b">
        <v>0</v>
      </c>
      <c r="E11" s="47">
        <v>0</v>
      </c>
      <c r="F11" s="60" t="s">
        <v>251</v>
      </c>
      <c r="L11" s="60" t="s">
        <v>263</v>
      </c>
      <c r="M11" s="34"/>
    </row>
    <row r="12" spans="1:13" x14ac:dyDescent="0.2">
      <c r="B12" s="47">
        <v>11</v>
      </c>
      <c r="C12" s="47" t="b">
        <v>0</v>
      </c>
      <c r="D12" s="47" t="b">
        <v>0</v>
      </c>
      <c r="E12" s="47">
        <v>9</v>
      </c>
      <c r="F12" s="60">
        <v>0</v>
      </c>
      <c r="L12" s="47" t="s">
        <v>264</v>
      </c>
      <c r="M12" s="34"/>
    </row>
    <row r="13" spans="1:13" x14ac:dyDescent="0.2">
      <c r="B13" s="47">
        <v>12</v>
      </c>
      <c r="C13" s="47" t="b">
        <v>0</v>
      </c>
      <c r="D13" s="47" t="b">
        <v>0</v>
      </c>
      <c r="E13" s="47">
        <v>10</v>
      </c>
      <c r="F13" s="60">
        <v>0</v>
      </c>
      <c r="L13" s="47" t="s">
        <v>264</v>
      </c>
      <c r="M13" s="34"/>
    </row>
    <row r="14" spans="1:13" x14ac:dyDescent="0.2">
      <c r="B14" s="47">
        <v>13</v>
      </c>
      <c r="C14" s="47" t="b">
        <v>0</v>
      </c>
      <c r="D14" s="47" t="b">
        <v>0</v>
      </c>
      <c r="E14" s="47">
        <v>6</v>
      </c>
      <c r="F14" s="60">
        <v>0</v>
      </c>
      <c r="L14" s="47" t="s">
        <v>265</v>
      </c>
      <c r="M14" s="34"/>
    </row>
    <row r="15" spans="1:13" x14ac:dyDescent="0.2">
      <c r="B15" s="47">
        <v>14</v>
      </c>
      <c r="C15" s="47" t="b">
        <v>0</v>
      </c>
      <c r="D15" s="47" t="b">
        <v>0</v>
      </c>
      <c r="E15" s="47">
        <v>9</v>
      </c>
      <c r="F15" s="60">
        <v>0</v>
      </c>
      <c r="L15" s="47" t="s">
        <v>265</v>
      </c>
      <c r="M15" s="34"/>
    </row>
    <row r="16" spans="1:13" x14ac:dyDescent="0.2">
      <c r="B16" s="47">
        <v>15</v>
      </c>
      <c r="C16" s="47" t="b">
        <v>0</v>
      </c>
      <c r="D16" s="47" t="b">
        <v>0</v>
      </c>
      <c r="E16" s="47">
        <v>10</v>
      </c>
      <c r="F16" s="60">
        <v>0</v>
      </c>
      <c r="L16" s="47" t="s">
        <v>266</v>
      </c>
      <c r="M16" s="34"/>
    </row>
    <row r="17" spans="1:13" x14ac:dyDescent="0.2">
      <c r="B17" s="47">
        <v>16</v>
      </c>
      <c r="C17" s="47" t="b">
        <v>0</v>
      </c>
      <c r="D17" s="47" t="b">
        <v>0</v>
      </c>
      <c r="E17" s="47">
        <v>0</v>
      </c>
      <c r="F17" s="60">
        <v>0</v>
      </c>
      <c r="L17" s="60" t="s">
        <v>274</v>
      </c>
      <c r="M17" s="34"/>
    </row>
    <row r="18" spans="1:13" x14ac:dyDescent="0.2">
      <c r="B18" s="47">
        <v>17</v>
      </c>
      <c r="C18" s="47" t="b">
        <v>0</v>
      </c>
      <c r="D18" s="47" t="b">
        <v>0</v>
      </c>
      <c r="E18" s="47">
        <v>0</v>
      </c>
      <c r="F18" s="60">
        <v>0</v>
      </c>
      <c r="L18" s="47" t="s">
        <v>276</v>
      </c>
      <c r="M18" s="34"/>
    </row>
    <row r="19" spans="1:13" x14ac:dyDescent="0.2">
      <c r="B19" s="47">
        <v>18</v>
      </c>
      <c r="C19" s="47" t="b">
        <v>0</v>
      </c>
      <c r="D19" s="47" t="b">
        <v>0</v>
      </c>
      <c r="E19" s="47">
        <v>0</v>
      </c>
      <c r="F19" s="60">
        <v>0</v>
      </c>
      <c r="L19" s="47" t="s">
        <v>275</v>
      </c>
      <c r="M19" s="34"/>
    </row>
    <row r="20" spans="1:13" x14ac:dyDescent="0.2">
      <c r="B20" s="47">
        <v>19</v>
      </c>
      <c r="C20" s="47" t="b">
        <v>0</v>
      </c>
      <c r="D20" s="47" t="b">
        <v>0</v>
      </c>
      <c r="E20" s="47">
        <v>0</v>
      </c>
      <c r="F20" s="60">
        <v>0</v>
      </c>
      <c r="L20" s="47" t="s">
        <v>267</v>
      </c>
      <c r="M20" s="34"/>
    </row>
    <row r="21" spans="1:13" x14ac:dyDescent="0.2">
      <c r="B21" s="47">
        <v>20</v>
      </c>
      <c r="C21" s="47" t="b">
        <v>0</v>
      </c>
      <c r="D21" s="47" t="b">
        <v>0</v>
      </c>
      <c r="E21" s="47">
        <v>0</v>
      </c>
      <c r="F21" s="60">
        <v>0</v>
      </c>
      <c r="L21" s="47" t="s">
        <v>277</v>
      </c>
      <c r="M21" s="48"/>
    </row>
    <row r="22" spans="1:13" x14ac:dyDescent="0.2">
      <c r="A22" s="47" t="s">
        <v>214</v>
      </c>
      <c r="B22" s="47">
        <v>1</v>
      </c>
      <c r="C22" s="47" t="b">
        <v>0</v>
      </c>
      <c r="D22" s="47" t="b">
        <v>0</v>
      </c>
      <c r="E22" s="47">
        <v>0</v>
      </c>
      <c r="F22" s="60">
        <v>0</v>
      </c>
      <c r="L22" s="60" t="s">
        <v>329</v>
      </c>
      <c r="M22" s="48" t="s">
        <v>225</v>
      </c>
    </row>
    <row r="23" spans="1:13" x14ac:dyDescent="0.2">
      <c r="B23" s="47">
        <v>2</v>
      </c>
      <c r="C23" s="47" t="b">
        <v>0</v>
      </c>
      <c r="D23" s="47" t="b">
        <v>0</v>
      </c>
      <c r="E23" s="47">
        <v>0</v>
      </c>
      <c r="F23" s="60">
        <v>0</v>
      </c>
      <c r="L23" s="60" t="s">
        <v>316</v>
      </c>
      <c r="M23" s="48" t="s">
        <v>233</v>
      </c>
    </row>
    <row r="24" spans="1:13" x14ac:dyDescent="0.2">
      <c r="B24" s="47">
        <v>3</v>
      </c>
      <c r="C24" s="47" t="b">
        <v>0</v>
      </c>
      <c r="D24" s="47" t="b">
        <v>0</v>
      </c>
      <c r="E24" s="47">
        <v>0</v>
      </c>
      <c r="F24" s="60">
        <v>0</v>
      </c>
      <c r="L24" s="60" t="s">
        <v>331</v>
      </c>
      <c r="M24" s="48" t="s">
        <v>226</v>
      </c>
    </row>
    <row r="25" spans="1:13" x14ac:dyDescent="0.2">
      <c r="B25" s="47">
        <v>4</v>
      </c>
      <c r="C25" s="47" t="b">
        <v>0</v>
      </c>
      <c r="D25" s="47" t="b">
        <v>0</v>
      </c>
      <c r="E25" s="47">
        <v>0</v>
      </c>
      <c r="F25" s="60">
        <v>0</v>
      </c>
      <c r="L25" s="60" t="s">
        <v>317</v>
      </c>
      <c r="M25" s="48" t="s">
        <v>227</v>
      </c>
    </row>
    <row r="26" spans="1:13" x14ac:dyDescent="0.2">
      <c r="B26" s="47">
        <v>5</v>
      </c>
      <c r="C26" s="47" t="b">
        <v>0</v>
      </c>
      <c r="D26" s="47" t="b">
        <v>0</v>
      </c>
      <c r="E26" s="47">
        <v>0</v>
      </c>
      <c r="F26" s="60">
        <v>0</v>
      </c>
      <c r="L26" s="60" t="s">
        <v>318</v>
      </c>
      <c r="M26" s="48" t="s">
        <v>231</v>
      </c>
    </row>
    <row r="27" spans="1:13" ht="13.2" customHeight="1" x14ac:dyDescent="0.2">
      <c r="B27" s="47">
        <v>6</v>
      </c>
      <c r="C27" s="47" t="b">
        <v>0</v>
      </c>
      <c r="D27" s="47" t="b">
        <v>0</v>
      </c>
      <c r="E27" s="47">
        <v>0</v>
      </c>
      <c r="F27" s="60">
        <v>10030500</v>
      </c>
      <c r="L27" s="60" t="s">
        <v>319</v>
      </c>
      <c r="M27" s="48"/>
    </row>
    <row r="28" spans="1:13" ht="13.2" customHeight="1" x14ac:dyDescent="0.2">
      <c r="B28" s="47">
        <v>7</v>
      </c>
      <c r="C28" s="47" t="b">
        <v>0</v>
      </c>
      <c r="D28" s="47" t="b">
        <v>0</v>
      </c>
      <c r="E28" s="47">
        <v>0</v>
      </c>
      <c r="F28" s="60" t="s">
        <v>320</v>
      </c>
      <c r="L28" s="60" t="s">
        <v>321</v>
      </c>
      <c r="M28" s="48"/>
    </row>
    <row r="29" spans="1:13" x14ac:dyDescent="0.2">
      <c r="B29" s="47">
        <v>8</v>
      </c>
      <c r="C29" s="47" t="b">
        <v>0</v>
      </c>
      <c r="D29" s="47" t="b">
        <v>0</v>
      </c>
      <c r="E29" s="47">
        <v>0</v>
      </c>
      <c r="F29" s="60" t="s">
        <v>322</v>
      </c>
      <c r="L29" s="60" t="s">
        <v>323</v>
      </c>
    </row>
    <row r="30" spans="1:13" x14ac:dyDescent="0.2">
      <c r="B30" s="47">
        <v>9</v>
      </c>
      <c r="C30" s="47" t="b">
        <v>0</v>
      </c>
      <c r="D30" s="47" t="b">
        <v>0</v>
      </c>
      <c r="E30" s="47">
        <v>0</v>
      </c>
      <c r="F30" s="60" t="s">
        <v>324</v>
      </c>
      <c r="L30" s="60" t="s">
        <v>328</v>
      </c>
    </row>
    <row r="31" spans="1:13" x14ac:dyDescent="0.2">
      <c r="B31" s="47">
        <v>10</v>
      </c>
      <c r="C31" s="47" t="b">
        <v>0</v>
      </c>
      <c r="D31" s="47" t="b">
        <v>0</v>
      </c>
      <c r="E31" s="47">
        <v>0</v>
      </c>
      <c r="F31" s="60" t="s">
        <v>325</v>
      </c>
      <c r="L31" s="60" t="s">
        <v>326</v>
      </c>
    </row>
    <row r="32" spans="1:13" x14ac:dyDescent="0.2">
      <c r="B32" s="47">
        <v>11</v>
      </c>
      <c r="C32" s="47" t="b">
        <v>0</v>
      </c>
      <c r="D32" s="47" t="b">
        <v>0</v>
      </c>
      <c r="E32" s="47">
        <v>10</v>
      </c>
      <c r="F32" s="60">
        <v>0</v>
      </c>
      <c r="L32" s="60" t="s">
        <v>327</v>
      </c>
    </row>
    <row r="33" spans="1:14" x14ac:dyDescent="0.2">
      <c r="B33" s="47">
        <v>12</v>
      </c>
      <c r="C33" s="47" t="b">
        <v>0</v>
      </c>
      <c r="D33" s="47" t="b">
        <v>0</v>
      </c>
      <c r="E33" s="47">
        <v>6</v>
      </c>
      <c r="F33" s="60">
        <v>0</v>
      </c>
      <c r="L33" s="60" t="s">
        <v>334</v>
      </c>
      <c r="N33" s="90"/>
    </row>
    <row r="34" spans="1:14" x14ac:dyDescent="0.2">
      <c r="B34" s="47">
        <v>13</v>
      </c>
      <c r="C34" s="47" t="b">
        <v>0</v>
      </c>
      <c r="D34" s="47" t="b">
        <v>0</v>
      </c>
      <c r="E34" s="47">
        <v>10</v>
      </c>
      <c r="F34" s="60">
        <v>0</v>
      </c>
      <c r="L34" s="60" t="s">
        <v>335</v>
      </c>
      <c r="N34" s="90"/>
    </row>
    <row r="35" spans="1:14" x14ac:dyDescent="0.2">
      <c r="B35" s="47">
        <v>14</v>
      </c>
      <c r="C35" s="47" t="b">
        <v>0</v>
      </c>
      <c r="D35" s="47" t="b">
        <v>0</v>
      </c>
      <c r="E35" s="47">
        <v>2</v>
      </c>
      <c r="F35" s="60">
        <v>0</v>
      </c>
      <c r="L35" s="60" t="s">
        <v>336</v>
      </c>
      <c r="N35" s="90"/>
    </row>
    <row r="36" spans="1:14" x14ac:dyDescent="0.2">
      <c r="B36" s="47">
        <v>15</v>
      </c>
      <c r="C36" s="47" t="b">
        <v>0</v>
      </c>
      <c r="D36" s="47" t="b">
        <v>0</v>
      </c>
      <c r="E36" s="47">
        <v>9</v>
      </c>
      <c r="F36" s="60">
        <v>0</v>
      </c>
      <c r="L36" s="60" t="s">
        <v>342</v>
      </c>
      <c r="N36" s="90"/>
    </row>
    <row r="37" spans="1:14" x14ac:dyDescent="0.2">
      <c r="B37" s="47">
        <v>16</v>
      </c>
      <c r="C37" s="47" t="b">
        <v>0</v>
      </c>
      <c r="D37" s="47" t="b">
        <v>0</v>
      </c>
      <c r="E37" s="47">
        <v>0</v>
      </c>
      <c r="F37" s="60">
        <v>0</v>
      </c>
      <c r="L37" s="60" t="s">
        <v>337</v>
      </c>
    </row>
    <row r="38" spans="1:14" x14ac:dyDescent="0.2">
      <c r="B38" s="47">
        <v>17</v>
      </c>
      <c r="C38" s="47" t="b">
        <v>0</v>
      </c>
      <c r="D38" s="47" t="b">
        <v>0</v>
      </c>
      <c r="E38" s="47">
        <v>0</v>
      </c>
      <c r="F38" s="60">
        <v>0</v>
      </c>
      <c r="L38" s="60" t="s">
        <v>338</v>
      </c>
    </row>
    <row r="39" spans="1:14" x14ac:dyDescent="0.2">
      <c r="B39" s="47">
        <v>18</v>
      </c>
      <c r="C39" s="47" t="b">
        <v>0</v>
      </c>
      <c r="D39" s="47" t="b">
        <v>0</v>
      </c>
      <c r="E39" s="47">
        <v>0</v>
      </c>
      <c r="F39" s="60">
        <v>0</v>
      </c>
      <c r="L39" s="60" t="s">
        <v>339</v>
      </c>
    </row>
    <row r="40" spans="1:14" x14ac:dyDescent="0.2">
      <c r="B40" s="47">
        <v>19</v>
      </c>
      <c r="C40" s="47" t="b">
        <v>0</v>
      </c>
      <c r="D40" s="47" t="b">
        <v>0</v>
      </c>
      <c r="E40" s="47">
        <v>0</v>
      </c>
      <c r="F40" s="60">
        <v>0</v>
      </c>
      <c r="L40" s="60" t="s">
        <v>340</v>
      </c>
    </row>
    <row r="41" spans="1:14" x14ac:dyDescent="0.2">
      <c r="B41" s="47">
        <v>20</v>
      </c>
      <c r="C41" s="47" t="b">
        <v>0</v>
      </c>
      <c r="D41" s="47" t="b">
        <v>0</v>
      </c>
      <c r="E41" s="47">
        <v>0</v>
      </c>
      <c r="F41" s="60">
        <v>0</v>
      </c>
      <c r="L41" s="60" t="s">
        <v>341</v>
      </c>
    </row>
    <row r="42" spans="1:14" x14ac:dyDescent="0.2">
      <c r="A42" s="47" t="s">
        <v>209</v>
      </c>
      <c r="B42" s="47">
        <v>1</v>
      </c>
      <c r="C42" s="47" t="b">
        <v>1</v>
      </c>
      <c r="D42" s="47" t="b">
        <v>0</v>
      </c>
      <c r="E42" s="47">
        <v>0</v>
      </c>
      <c r="F42" s="60">
        <v>0</v>
      </c>
      <c r="L42" s="60" t="s">
        <v>343</v>
      </c>
    </row>
    <row r="43" spans="1:14" x14ac:dyDescent="0.2">
      <c r="B43" s="47">
        <v>2</v>
      </c>
      <c r="C43" s="47" t="b">
        <v>1</v>
      </c>
      <c r="D43" s="47" t="b">
        <v>0</v>
      </c>
      <c r="E43" s="47">
        <v>0</v>
      </c>
      <c r="F43" s="60">
        <v>0</v>
      </c>
      <c r="L43" s="60" t="s">
        <v>360</v>
      </c>
    </row>
    <row r="44" spans="1:14" x14ac:dyDescent="0.2">
      <c r="B44" s="47">
        <v>3</v>
      </c>
      <c r="C44" s="47" t="b">
        <v>1</v>
      </c>
      <c r="D44" s="47" t="b">
        <v>0</v>
      </c>
      <c r="E44" s="47">
        <v>0</v>
      </c>
      <c r="F44" s="60">
        <v>0</v>
      </c>
      <c r="L44" s="60" t="s">
        <v>362</v>
      </c>
      <c r="N44" t="s">
        <v>364</v>
      </c>
    </row>
    <row r="45" spans="1:14" s="76" customFormat="1" x14ac:dyDescent="0.2">
      <c r="A45" s="91"/>
      <c r="B45" s="91">
        <v>4</v>
      </c>
      <c r="C45" s="91" t="b">
        <v>0</v>
      </c>
      <c r="D45" s="91" t="b">
        <v>1</v>
      </c>
      <c r="E45" s="91">
        <v>0</v>
      </c>
      <c r="F45" s="92">
        <v>0</v>
      </c>
      <c r="G45" s="92"/>
      <c r="H45" s="92"/>
      <c r="I45" s="92"/>
      <c r="J45" s="92"/>
      <c r="K45" s="92"/>
      <c r="L45" s="92" t="s">
        <v>361</v>
      </c>
      <c r="M45" s="76">
        <f>MOD(B45,4)</f>
        <v>0</v>
      </c>
      <c r="N45" s="76">
        <v>4</v>
      </c>
    </row>
    <row r="46" spans="1:14" s="76" customFormat="1" x14ac:dyDescent="0.2">
      <c r="A46" s="91"/>
      <c r="B46" s="91">
        <v>5</v>
      </c>
      <c r="C46" s="91" t="b">
        <v>0</v>
      </c>
      <c r="D46" s="91" t="b">
        <v>1</v>
      </c>
      <c r="E46" s="91">
        <v>0</v>
      </c>
      <c r="F46" s="92">
        <v>0</v>
      </c>
      <c r="G46" s="92"/>
      <c r="H46" s="92"/>
      <c r="I46" s="92"/>
      <c r="J46" s="92"/>
      <c r="K46" s="92"/>
      <c r="L46" s="92" t="s">
        <v>344</v>
      </c>
      <c r="M46" s="76">
        <f>MOD(B46,4)</f>
        <v>1</v>
      </c>
      <c r="N46" s="76">
        <v>4</v>
      </c>
    </row>
    <row r="47" spans="1:14" s="76" customFormat="1" x14ac:dyDescent="0.2">
      <c r="A47" s="91"/>
      <c r="B47" s="91">
        <v>6</v>
      </c>
      <c r="C47" s="91" t="b">
        <v>0</v>
      </c>
      <c r="D47" s="91" t="b">
        <v>1</v>
      </c>
      <c r="E47" s="91">
        <v>0</v>
      </c>
      <c r="F47" s="92" t="s">
        <v>345</v>
      </c>
      <c r="G47" s="92"/>
      <c r="H47" s="92"/>
      <c r="I47" s="92"/>
      <c r="J47" s="92"/>
      <c r="K47" s="92"/>
      <c r="L47" s="92" t="s">
        <v>346</v>
      </c>
      <c r="M47" s="76">
        <f>MOD(B47,4)</f>
        <v>2</v>
      </c>
      <c r="N47" s="76">
        <v>4</v>
      </c>
    </row>
    <row r="48" spans="1:14" s="76" customFormat="1" x14ac:dyDescent="0.2">
      <c r="A48" s="91"/>
      <c r="B48" s="91">
        <v>7</v>
      </c>
      <c r="C48" s="91" t="b">
        <v>1</v>
      </c>
      <c r="D48" s="91" t="b">
        <v>0</v>
      </c>
      <c r="E48" s="91">
        <v>0</v>
      </c>
      <c r="F48" s="92" t="s">
        <v>347</v>
      </c>
      <c r="G48" s="92"/>
      <c r="H48" s="92"/>
      <c r="I48" s="92"/>
      <c r="J48" s="92"/>
      <c r="K48" s="92"/>
      <c r="L48" s="92" t="s">
        <v>346</v>
      </c>
    </row>
    <row r="49" spans="1:14" s="76" customFormat="1" x14ac:dyDescent="0.2">
      <c r="A49" s="91"/>
      <c r="B49" s="91">
        <v>8</v>
      </c>
      <c r="C49" s="91" t="b">
        <v>1</v>
      </c>
      <c r="D49" s="91" t="b">
        <v>0</v>
      </c>
      <c r="E49" s="91">
        <v>0</v>
      </c>
      <c r="F49" s="92" t="s">
        <v>348</v>
      </c>
      <c r="G49" s="92"/>
      <c r="H49" s="92"/>
      <c r="I49" s="92"/>
      <c r="J49" s="92"/>
      <c r="K49" s="92"/>
      <c r="L49" s="92" t="s">
        <v>346</v>
      </c>
    </row>
    <row r="50" spans="1:14" s="76" customFormat="1" x14ac:dyDescent="0.2">
      <c r="A50" s="91"/>
      <c r="B50" s="91">
        <v>9</v>
      </c>
      <c r="C50" s="91" t="b">
        <v>1</v>
      </c>
      <c r="D50" s="91" t="b">
        <v>0</v>
      </c>
      <c r="E50" s="91">
        <v>0</v>
      </c>
      <c r="F50" s="92" t="s">
        <v>349</v>
      </c>
      <c r="G50" s="92"/>
      <c r="H50" s="92"/>
      <c r="I50" s="92"/>
      <c r="J50" s="92"/>
      <c r="K50" s="92"/>
      <c r="L50" s="92" t="s">
        <v>350</v>
      </c>
    </row>
    <row r="51" spans="1:14" s="76" customFormat="1" x14ac:dyDescent="0.2">
      <c r="A51" s="91"/>
      <c r="B51" s="91">
        <v>10</v>
      </c>
      <c r="C51" s="91" t="b">
        <v>0</v>
      </c>
      <c r="D51" s="91" t="b">
        <v>1</v>
      </c>
      <c r="E51" s="91">
        <v>0</v>
      </c>
      <c r="F51" s="92" t="s">
        <v>351</v>
      </c>
      <c r="G51" s="92"/>
      <c r="H51" s="92"/>
      <c r="I51" s="92"/>
      <c r="J51" s="92"/>
      <c r="K51" s="92"/>
      <c r="L51" s="92" t="s">
        <v>350</v>
      </c>
      <c r="M51" s="76">
        <f t="shared" ref="M51:M52" si="0">MOD(B51,4)</f>
        <v>2</v>
      </c>
      <c r="N51" s="76">
        <v>4</v>
      </c>
    </row>
    <row r="52" spans="1:14" s="76" customFormat="1" x14ac:dyDescent="0.2">
      <c r="A52" s="91"/>
      <c r="B52" s="91">
        <v>11</v>
      </c>
      <c r="C52" s="91" t="b">
        <v>0</v>
      </c>
      <c r="D52" s="91" t="b">
        <v>1</v>
      </c>
      <c r="E52" s="91">
        <v>12</v>
      </c>
      <c r="F52" s="92">
        <v>0</v>
      </c>
      <c r="G52" s="92"/>
      <c r="H52" s="92"/>
      <c r="I52" s="92"/>
      <c r="J52" s="92"/>
      <c r="K52" s="92"/>
      <c r="L52" s="92" t="s">
        <v>352</v>
      </c>
      <c r="M52" s="76">
        <f t="shared" si="0"/>
        <v>3</v>
      </c>
      <c r="N52" s="76">
        <v>4</v>
      </c>
    </row>
    <row r="53" spans="1:14" s="76" customFormat="1" x14ac:dyDescent="0.2">
      <c r="A53" s="91"/>
      <c r="B53" s="91">
        <v>12</v>
      </c>
      <c r="C53" s="91" t="b">
        <v>1</v>
      </c>
      <c r="D53" s="91" t="b">
        <v>0</v>
      </c>
      <c r="E53" s="91">
        <v>6</v>
      </c>
      <c r="F53" s="92">
        <v>0</v>
      </c>
      <c r="G53" s="92"/>
      <c r="H53" s="92"/>
      <c r="I53" s="92"/>
      <c r="J53" s="92"/>
      <c r="K53" s="92"/>
      <c r="L53" s="92" t="s">
        <v>352</v>
      </c>
    </row>
    <row r="54" spans="1:14" s="76" customFormat="1" x14ac:dyDescent="0.2">
      <c r="A54" s="91"/>
      <c r="B54" s="91">
        <v>13</v>
      </c>
      <c r="C54" s="91" t="b">
        <v>0</v>
      </c>
      <c r="D54" s="91" t="b">
        <v>1</v>
      </c>
      <c r="E54" s="91">
        <v>10</v>
      </c>
      <c r="F54" s="92">
        <v>0</v>
      </c>
      <c r="G54" s="92"/>
      <c r="H54" s="92"/>
      <c r="I54" s="92"/>
      <c r="J54" s="92"/>
      <c r="K54" s="92"/>
      <c r="L54" s="92" t="s">
        <v>352</v>
      </c>
      <c r="M54" s="76">
        <f>MOD(B54,4)</f>
        <v>1</v>
      </c>
      <c r="N54" s="76">
        <v>4</v>
      </c>
    </row>
    <row r="55" spans="1:14" s="76" customFormat="1" x14ac:dyDescent="0.2">
      <c r="A55" s="91"/>
      <c r="B55" s="91">
        <v>14</v>
      </c>
      <c r="C55" s="91" t="b">
        <v>1</v>
      </c>
      <c r="D55" s="91" t="b">
        <v>0</v>
      </c>
      <c r="E55" s="91">
        <v>2</v>
      </c>
      <c r="F55" s="92">
        <v>0</v>
      </c>
      <c r="G55" s="92"/>
      <c r="H55" s="92"/>
      <c r="I55" s="92"/>
      <c r="J55" s="92"/>
      <c r="K55" s="92"/>
      <c r="L55" s="92" t="s">
        <v>352</v>
      </c>
    </row>
    <row r="56" spans="1:14" s="76" customFormat="1" x14ac:dyDescent="0.2">
      <c r="A56" s="91"/>
      <c r="B56" s="91">
        <v>15</v>
      </c>
      <c r="C56" s="91" t="b">
        <v>0</v>
      </c>
      <c r="D56" s="91" t="b">
        <v>1</v>
      </c>
      <c r="E56" s="91">
        <v>9</v>
      </c>
      <c r="F56" s="92">
        <v>0</v>
      </c>
      <c r="G56" s="92"/>
      <c r="H56" s="92"/>
      <c r="I56" s="92"/>
      <c r="J56" s="92"/>
      <c r="K56" s="92"/>
      <c r="L56" s="92" t="s">
        <v>352</v>
      </c>
      <c r="M56" s="76">
        <f t="shared" ref="M56:M57" si="1">MOD(B56,4)</f>
        <v>3</v>
      </c>
      <c r="N56" s="76">
        <v>4</v>
      </c>
    </row>
    <row r="57" spans="1:14" s="76" customFormat="1" x14ac:dyDescent="0.2">
      <c r="A57" s="91"/>
      <c r="B57" s="91">
        <v>16</v>
      </c>
      <c r="C57" s="91" t="b">
        <v>0</v>
      </c>
      <c r="D57" s="91" t="b">
        <v>1</v>
      </c>
      <c r="E57" s="91">
        <v>0</v>
      </c>
      <c r="F57" s="92">
        <v>0</v>
      </c>
      <c r="G57" s="92"/>
      <c r="H57" s="92"/>
      <c r="I57" s="92"/>
      <c r="J57" s="92"/>
      <c r="K57" s="92"/>
      <c r="L57" s="92" t="s">
        <v>353</v>
      </c>
      <c r="M57" s="76">
        <f t="shared" si="1"/>
        <v>0</v>
      </c>
      <c r="N57" s="76">
        <v>3</v>
      </c>
    </row>
    <row r="58" spans="1:14" s="76" customFormat="1" x14ac:dyDescent="0.2">
      <c r="A58" s="91"/>
      <c r="B58" s="91">
        <v>17</v>
      </c>
      <c r="C58" s="91" t="b">
        <v>1</v>
      </c>
      <c r="D58" s="91" t="b">
        <v>0</v>
      </c>
      <c r="E58" s="91">
        <v>0</v>
      </c>
      <c r="F58" s="92">
        <v>0</v>
      </c>
      <c r="G58" s="92"/>
      <c r="H58" s="92"/>
      <c r="I58" s="92"/>
      <c r="J58" s="92"/>
      <c r="K58" s="92"/>
      <c r="L58" s="92" t="s">
        <v>354</v>
      </c>
    </row>
    <row r="59" spans="1:14" s="76" customFormat="1" x14ac:dyDescent="0.2">
      <c r="A59" s="91"/>
      <c r="B59" s="91">
        <v>18</v>
      </c>
      <c r="C59" s="91" t="b">
        <v>0</v>
      </c>
      <c r="D59" s="91" t="b">
        <v>1</v>
      </c>
      <c r="E59" s="91">
        <v>0</v>
      </c>
      <c r="F59" s="92">
        <v>0</v>
      </c>
      <c r="G59" s="92"/>
      <c r="H59" s="92"/>
      <c r="I59" s="92"/>
      <c r="J59" s="92"/>
      <c r="K59" s="92"/>
      <c r="L59" s="92" t="s">
        <v>355</v>
      </c>
      <c r="M59" s="76">
        <f>MOD(B59,4)</f>
        <v>2</v>
      </c>
      <c r="N59" s="76">
        <v>4</v>
      </c>
    </row>
    <row r="60" spans="1:14" s="76" customFormat="1" x14ac:dyDescent="0.2">
      <c r="A60" s="91"/>
      <c r="B60" s="91">
        <v>19</v>
      </c>
      <c r="C60" s="91" t="b">
        <v>1</v>
      </c>
      <c r="D60" s="91" t="b">
        <v>0</v>
      </c>
      <c r="E60" s="91">
        <v>0</v>
      </c>
      <c r="F60" s="92">
        <v>0</v>
      </c>
      <c r="G60" s="92"/>
      <c r="H60" s="92"/>
      <c r="I60" s="92"/>
      <c r="J60" s="92"/>
      <c r="K60" s="92"/>
      <c r="L60" s="92" t="s">
        <v>356</v>
      </c>
    </row>
    <row r="61" spans="1:14" s="76" customFormat="1" x14ac:dyDescent="0.2">
      <c r="A61" s="91"/>
      <c r="B61" s="91">
        <v>20</v>
      </c>
      <c r="C61" s="91" t="b">
        <v>0</v>
      </c>
      <c r="D61" s="91" t="b">
        <v>0</v>
      </c>
      <c r="E61" s="91">
        <v>0</v>
      </c>
      <c r="F61" s="92">
        <v>0</v>
      </c>
      <c r="G61" s="92"/>
      <c r="H61" s="92"/>
      <c r="I61" s="92"/>
      <c r="J61" s="92"/>
      <c r="K61" s="92"/>
      <c r="L61" s="92" t="s">
        <v>359</v>
      </c>
      <c r="M61" s="76">
        <f>MOD(B61,4)</f>
        <v>0</v>
      </c>
      <c r="N61" s="76">
        <v>3</v>
      </c>
    </row>
    <row r="62" spans="1:14" x14ac:dyDescent="0.2">
      <c r="A62" s="47" t="s">
        <v>210</v>
      </c>
      <c r="B62" s="47">
        <v>1</v>
      </c>
    </row>
    <row r="63" spans="1:14" x14ac:dyDescent="0.2">
      <c r="B63" s="47">
        <v>2</v>
      </c>
    </row>
    <row r="64" spans="1:14" x14ac:dyDescent="0.2">
      <c r="B64" s="47">
        <v>3</v>
      </c>
    </row>
    <row r="65" spans="2:2" x14ac:dyDescent="0.2">
      <c r="B65" s="47">
        <v>4</v>
      </c>
    </row>
    <row r="66" spans="2:2" x14ac:dyDescent="0.2">
      <c r="B66" s="47">
        <v>5</v>
      </c>
    </row>
    <row r="67" spans="2:2" x14ac:dyDescent="0.2">
      <c r="B67" s="47">
        <v>6</v>
      </c>
    </row>
    <row r="68" spans="2:2" x14ac:dyDescent="0.2">
      <c r="B68" s="47">
        <v>7</v>
      </c>
    </row>
    <row r="69" spans="2:2" x14ac:dyDescent="0.2">
      <c r="B69" s="47">
        <v>8</v>
      </c>
    </row>
    <row r="70" spans="2:2" x14ac:dyDescent="0.2">
      <c r="B70" s="47">
        <v>9</v>
      </c>
    </row>
    <row r="71" spans="2:2" x14ac:dyDescent="0.2">
      <c r="B71" s="47">
        <v>10</v>
      </c>
    </row>
    <row r="72" spans="2:2" x14ac:dyDescent="0.2">
      <c r="B72" s="47">
        <v>11</v>
      </c>
    </row>
    <row r="73" spans="2:2" x14ac:dyDescent="0.2">
      <c r="B73" s="47">
        <v>12</v>
      </c>
    </row>
    <row r="74" spans="2:2" x14ac:dyDescent="0.2">
      <c r="B74" s="47">
        <v>13</v>
      </c>
    </row>
    <row r="75" spans="2:2" x14ac:dyDescent="0.2">
      <c r="B75" s="47">
        <v>14</v>
      </c>
    </row>
    <row r="76" spans="2:2" x14ac:dyDescent="0.2">
      <c r="B76" s="47">
        <v>15</v>
      </c>
    </row>
    <row r="77" spans="2:2" x14ac:dyDescent="0.2">
      <c r="B77" s="47">
        <v>16</v>
      </c>
    </row>
    <row r="78" spans="2:2" x14ac:dyDescent="0.2">
      <c r="B78" s="47">
        <v>17</v>
      </c>
    </row>
    <row r="79" spans="2:2" x14ac:dyDescent="0.2">
      <c r="B79" s="47">
        <v>18</v>
      </c>
    </row>
    <row r="80" spans="2:2" x14ac:dyDescent="0.2">
      <c r="B80" s="47">
        <v>19</v>
      </c>
    </row>
    <row r="81" spans="1:2" x14ac:dyDescent="0.2">
      <c r="B81" s="47">
        <v>20</v>
      </c>
    </row>
    <row r="82" spans="1:2" x14ac:dyDescent="0.2">
      <c r="A82" s="47" t="s">
        <v>211</v>
      </c>
      <c r="B82" s="47">
        <v>1</v>
      </c>
    </row>
    <row r="83" spans="1:2" x14ac:dyDescent="0.2">
      <c r="B83" s="47">
        <v>2</v>
      </c>
    </row>
    <row r="84" spans="1:2" x14ac:dyDescent="0.2">
      <c r="B84" s="47">
        <v>3</v>
      </c>
    </row>
    <row r="85" spans="1:2" x14ac:dyDescent="0.2">
      <c r="B85" s="47">
        <v>4</v>
      </c>
    </row>
    <row r="86" spans="1:2" x14ac:dyDescent="0.2">
      <c r="B86" s="47">
        <v>5</v>
      </c>
    </row>
    <row r="87" spans="1:2" x14ac:dyDescent="0.2">
      <c r="B87" s="47">
        <v>6</v>
      </c>
    </row>
    <row r="88" spans="1:2" x14ac:dyDescent="0.2">
      <c r="B88" s="47">
        <v>7</v>
      </c>
    </row>
    <row r="89" spans="1:2" x14ac:dyDescent="0.2">
      <c r="B89" s="47">
        <v>8</v>
      </c>
    </row>
    <row r="90" spans="1:2" x14ac:dyDescent="0.2">
      <c r="B90" s="47">
        <v>9</v>
      </c>
    </row>
    <row r="91" spans="1:2" x14ac:dyDescent="0.2">
      <c r="B91" s="47">
        <v>10</v>
      </c>
    </row>
    <row r="92" spans="1:2" x14ac:dyDescent="0.2">
      <c r="B92" s="47">
        <v>11</v>
      </c>
    </row>
    <row r="93" spans="1:2" x14ac:dyDescent="0.2">
      <c r="B93" s="47">
        <v>12</v>
      </c>
    </row>
    <row r="94" spans="1:2" x14ac:dyDescent="0.2">
      <c r="B94" s="47">
        <v>13</v>
      </c>
    </row>
    <row r="95" spans="1:2" x14ac:dyDescent="0.2">
      <c r="B95" s="47">
        <v>14</v>
      </c>
    </row>
    <row r="96" spans="1:2" x14ac:dyDescent="0.2">
      <c r="B96" s="47">
        <v>15</v>
      </c>
    </row>
    <row r="97" spans="1:2" x14ac:dyDescent="0.2">
      <c r="B97" s="47">
        <v>16</v>
      </c>
    </row>
    <row r="98" spans="1:2" x14ac:dyDescent="0.2">
      <c r="B98" s="47">
        <v>17</v>
      </c>
    </row>
    <row r="99" spans="1:2" x14ac:dyDescent="0.2">
      <c r="B99" s="47">
        <v>18</v>
      </c>
    </row>
    <row r="100" spans="1:2" x14ac:dyDescent="0.2">
      <c r="B100" s="47">
        <v>19</v>
      </c>
    </row>
    <row r="101" spans="1:2" x14ac:dyDescent="0.2">
      <c r="B101" s="47">
        <v>20</v>
      </c>
    </row>
    <row r="102" spans="1:2" x14ac:dyDescent="0.2">
      <c r="A102" s="47" t="s">
        <v>212</v>
      </c>
      <c r="B102" s="47">
        <v>1</v>
      </c>
    </row>
    <row r="103" spans="1:2" x14ac:dyDescent="0.2">
      <c r="B103" s="47">
        <v>2</v>
      </c>
    </row>
    <row r="104" spans="1:2" x14ac:dyDescent="0.2">
      <c r="B104" s="47">
        <v>3</v>
      </c>
    </row>
    <row r="105" spans="1:2" x14ac:dyDescent="0.2">
      <c r="B105" s="47">
        <v>4</v>
      </c>
    </row>
    <row r="106" spans="1:2" x14ac:dyDescent="0.2">
      <c r="B106" s="47">
        <v>5</v>
      </c>
    </row>
    <row r="107" spans="1:2" x14ac:dyDescent="0.2">
      <c r="B107" s="47">
        <v>6</v>
      </c>
    </row>
    <row r="108" spans="1:2" x14ac:dyDescent="0.2">
      <c r="B108" s="47">
        <v>7</v>
      </c>
    </row>
    <row r="109" spans="1:2" x14ac:dyDescent="0.2">
      <c r="B109" s="47">
        <v>8</v>
      </c>
    </row>
    <row r="110" spans="1:2" x14ac:dyDescent="0.2">
      <c r="B110" s="47">
        <v>9</v>
      </c>
    </row>
    <row r="111" spans="1:2" x14ac:dyDescent="0.2">
      <c r="B111" s="47">
        <v>10</v>
      </c>
    </row>
    <row r="112" spans="1:2" x14ac:dyDescent="0.2">
      <c r="B112" s="47">
        <v>11</v>
      </c>
    </row>
    <row r="113" spans="1:2" x14ac:dyDescent="0.2">
      <c r="B113" s="47">
        <v>12</v>
      </c>
    </row>
    <row r="114" spans="1:2" x14ac:dyDescent="0.2">
      <c r="B114" s="47">
        <v>13</v>
      </c>
    </row>
    <row r="115" spans="1:2" x14ac:dyDescent="0.2">
      <c r="B115" s="47">
        <v>14</v>
      </c>
    </row>
    <row r="116" spans="1:2" x14ac:dyDescent="0.2">
      <c r="B116" s="47">
        <v>15</v>
      </c>
    </row>
    <row r="117" spans="1:2" x14ac:dyDescent="0.2">
      <c r="B117" s="47">
        <v>16</v>
      </c>
    </row>
    <row r="118" spans="1:2" x14ac:dyDescent="0.2">
      <c r="B118" s="47">
        <v>17</v>
      </c>
    </row>
    <row r="119" spans="1:2" x14ac:dyDescent="0.2">
      <c r="B119" s="47">
        <v>18</v>
      </c>
    </row>
    <row r="120" spans="1:2" x14ac:dyDescent="0.2">
      <c r="B120" s="47">
        <v>19</v>
      </c>
    </row>
    <row r="121" spans="1:2" x14ac:dyDescent="0.2">
      <c r="B121" s="47">
        <v>20</v>
      </c>
    </row>
    <row r="122" spans="1:2" x14ac:dyDescent="0.2">
      <c r="A122" s="47" t="s">
        <v>213</v>
      </c>
      <c r="B122" s="47">
        <v>1</v>
      </c>
    </row>
    <row r="123" spans="1:2" x14ac:dyDescent="0.2">
      <c r="B123" s="47">
        <v>2</v>
      </c>
    </row>
    <row r="124" spans="1:2" x14ac:dyDescent="0.2">
      <c r="B124" s="47">
        <v>3</v>
      </c>
    </row>
    <row r="125" spans="1:2" x14ac:dyDescent="0.2">
      <c r="B125" s="47">
        <v>4</v>
      </c>
    </row>
    <row r="126" spans="1:2" x14ac:dyDescent="0.2">
      <c r="B126" s="47">
        <v>5</v>
      </c>
    </row>
    <row r="127" spans="1:2" x14ac:dyDescent="0.2">
      <c r="B127" s="47">
        <v>6</v>
      </c>
    </row>
    <row r="128" spans="1:2" x14ac:dyDescent="0.2">
      <c r="B128" s="47">
        <v>7</v>
      </c>
    </row>
    <row r="129" spans="2:2" x14ac:dyDescent="0.2">
      <c r="B129" s="47">
        <v>8</v>
      </c>
    </row>
    <row r="130" spans="2:2" x14ac:dyDescent="0.2">
      <c r="B130" s="47">
        <v>9</v>
      </c>
    </row>
    <row r="131" spans="2:2" x14ac:dyDescent="0.2">
      <c r="B131" s="47">
        <v>10</v>
      </c>
    </row>
    <row r="132" spans="2:2" x14ac:dyDescent="0.2">
      <c r="B132" s="47">
        <v>11</v>
      </c>
    </row>
    <row r="133" spans="2:2" x14ac:dyDescent="0.2">
      <c r="B133" s="47">
        <v>12</v>
      </c>
    </row>
    <row r="134" spans="2:2" x14ac:dyDescent="0.2">
      <c r="B134" s="47">
        <v>13</v>
      </c>
    </row>
    <row r="135" spans="2:2" x14ac:dyDescent="0.2">
      <c r="B135" s="47">
        <v>14</v>
      </c>
    </row>
    <row r="136" spans="2:2" x14ac:dyDescent="0.2">
      <c r="B136" s="47">
        <v>15</v>
      </c>
    </row>
    <row r="137" spans="2:2" x14ac:dyDescent="0.2">
      <c r="B137" s="47">
        <v>16</v>
      </c>
    </row>
    <row r="138" spans="2:2" x14ac:dyDescent="0.2">
      <c r="B138" s="47">
        <v>17</v>
      </c>
    </row>
    <row r="139" spans="2:2" x14ac:dyDescent="0.2">
      <c r="B139" s="47">
        <v>18</v>
      </c>
    </row>
    <row r="140" spans="2:2" x14ac:dyDescent="0.2">
      <c r="B140" s="47">
        <v>19</v>
      </c>
    </row>
    <row r="141" spans="2:2" x14ac:dyDescent="0.2">
      <c r="B141" s="47">
        <v>20</v>
      </c>
    </row>
  </sheetData>
  <phoneticPr fontId="1"/>
  <pageMargins left="0.7" right="0.7" top="0.75" bottom="0.75" header="0.3" footer="0.3"/>
  <pageSetup paperSize="9" orientation="portrait" horizontalDpi="4294967293" verticalDpi="0" r:id="rId1"/>
  <ignoredErrors>
    <ignoredError sqref="F7:F11 G2:K2 L25 F28" numberStoredAsText="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37"/>
  <sheetViews>
    <sheetView workbookViewId="0">
      <selection activeCell="I13" sqref="I13"/>
    </sheetView>
  </sheetViews>
  <sheetFormatPr defaultRowHeight="13.2" x14ac:dyDescent="0.2"/>
  <cols>
    <col min="1" max="12" width="2.44140625" customWidth="1"/>
    <col min="13" max="13" width="4.5546875" customWidth="1"/>
    <col min="14" max="14" width="8.6640625" customWidth="1"/>
  </cols>
  <sheetData>
    <row r="1" spans="1:27" ht="13.8" customHeight="1" thickBot="1" x14ac:dyDescent="0.25">
      <c r="U1" s="207" t="s">
        <v>286</v>
      </c>
      <c r="V1" s="207"/>
      <c r="W1" s="207"/>
      <c r="X1" s="207"/>
      <c r="Y1" s="207"/>
      <c r="Z1" s="207"/>
    </row>
    <row r="2" spans="1:27" x14ac:dyDescent="0.2">
      <c r="A2" s="71"/>
      <c r="B2" s="72"/>
      <c r="C2" s="61"/>
      <c r="D2" s="61"/>
      <c r="E2" s="61"/>
      <c r="F2" s="61"/>
      <c r="G2" s="61"/>
      <c r="H2" s="61"/>
      <c r="I2" s="61"/>
      <c r="J2" s="61"/>
      <c r="K2" s="61"/>
      <c r="L2" s="62"/>
      <c r="M2" s="68" t="s">
        <v>269</v>
      </c>
      <c r="U2" s="207"/>
      <c r="V2" s="207"/>
      <c r="W2" s="207"/>
      <c r="X2" s="207"/>
      <c r="Y2" s="207"/>
      <c r="Z2" s="207"/>
    </row>
    <row r="3" spans="1:27" x14ac:dyDescent="0.2">
      <c r="A3" s="13" t="s">
        <v>2</v>
      </c>
      <c r="B3" s="47"/>
      <c r="C3" s="47"/>
      <c r="D3" s="47"/>
      <c r="E3" s="47"/>
      <c r="F3" s="47"/>
      <c r="G3" s="47"/>
      <c r="H3" s="47"/>
      <c r="I3" s="47"/>
      <c r="J3" s="47"/>
      <c r="K3" s="47"/>
      <c r="L3" s="64"/>
      <c r="M3" s="68" t="s">
        <v>270</v>
      </c>
      <c r="U3" s="207"/>
      <c r="V3" s="207"/>
      <c r="W3" s="207"/>
      <c r="X3" s="207"/>
      <c r="Y3" s="207"/>
      <c r="Z3" s="207"/>
    </row>
    <row r="4" spans="1:27" x14ac:dyDescent="0.2">
      <c r="A4" s="73"/>
      <c r="B4" s="47"/>
      <c r="C4" s="47"/>
      <c r="D4" s="47"/>
      <c r="E4" s="47"/>
      <c r="F4" s="47"/>
      <c r="G4" s="47"/>
      <c r="H4" s="47"/>
      <c r="I4" s="47"/>
      <c r="J4" s="47"/>
      <c r="K4" s="47"/>
      <c r="L4" s="64"/>
      <c r="M4" s="68" t="s">
        <v>271</v>
      </c>
      <c r="U4" s="207"/>
      <c r="V4" s="207"/>
      <c r="W4" s="207"/>
      <c r="X4" s="207"/>
      <c r="Y4" s="207"/>
      <c r="Z4" s="207"/>
    </row>
    <row r="5" spans="1:27" x14ac:dyDescent="0.2">
      <c r="A5" s="73"/>
      <c r="B5" s="47"/>
      <c r="C5" s="47"/>
      <c r="D5" s="47"/>
      <c r="E5" s="47"/>
      <c r="F5" s="47"/>
      <c r="G5" s="47"/>
      <c r="H5" s="47"/>
      <c r="I5" s="47"/>
      <c r="J5" s="47"/>
      <c r="K5" s="47"/>
      <c r="L5" s="64"/>
      <c r="M5" s="68" t="s">
        <v>272</v>
      </c>
      <c r="U5" s="207"/>
      <c r="V5" s="207"/>
      <c r="W5" s="207"/>
      <c r="X5" s="207"/>
      <c r="Y5" s="207"/>
      <c r="Z5" s="207"/>
    </row>
    <row r="6" spans="1:27" x14ac:dyDescent="0.2">
      <c r="A6" s="63"/>
      <c r="B6" s="47"/>
      <c r="C6" s="47"/>
      <c r="D6" s="47"/>
      <c r="E6" s="47"/>
      <c r="F6" s="47"/>
      <c r="G6" s="47"/>
      <c r="H6" s="47"/>
      <c r="I6" s="47"/>
      <c r="J6" s="47"/>
      <c r="K6" s="47"/>
      <c r="L6" s="64"/>
      <c r="U6" s="207"/>
      <c r="V6" s="207"/>
      <c r="W6" s="207"/>
      <c r="X6" s="207"/>
      <c r="Y6" s="207"/>
      <c r="Z6" s="207"/>
    </row>
    <row r="7" spans="1:27" ht="13.8" thickBot="1" x14ac:dyDescent="0.25">
      <c r="A7" s="65"/>
      <c r="B7" s="66"/>
      <c r="C7" s="66"/>
      <c r="D7" s="66"/>
      <c r="E7" s="66"/>
      <c r="F7" s="66"/>
      <c r="G7" s="66"/>
      <c r="H7" s="66"/>
      <c r="I7" s="66"/>
      <c r="J7" s="66"/>
      <c r="K7" s="66"/>
      <c r="L7" s="67"/>
      <c r="U7" s="207"/>
      <c r="V7" s="207"/>
      <c r="W7" s="207"/>
      <c r="X7" s="207"/>
      <c r="Y7" s="207"/>
      <c r="Z7" s="207"/>
      <c r="AA7" s="75" t="s">
        <v>287</v>
      </c>
    </row>
    <row r="8" spans="1:27" x14ac:dyDescent="0.2">
      <c r="U8" s="207"/>
      <c r="V8" s="207"/>
      <c r="W8" s="207"/>
      <c r="X8" s="207"/>
      <c r="Y8" s="207"/>
      <c r="Z8" s="207"/>
    </row>
    <row r="9" spans="1:27" x14ac:dyDescent="0.2">
      <c r="A9" s="11"/>
      <c r="N9" t="s">
        <v>278</v>
      </c>
      <c r="O9" t="s">
        <v>280</v>
      </c>
      <c r="P9" t="s">
        <v>281</v>
      </c>
      <c r="Q9" t="s">
        <v>282</v>
      </c>
      <c r="R9" t="s">
        <v>283</v>
      </c>
      <c r="S9">
        <f>Q10-20</f>
        <v>20</v>
      </c>
      <c r="U9" s="207"/>
      <c r="V9" s="207"/>
      <c r="W9" s="207"/>
      <c r="X9" s="207"/>
      <c r="Y9" s="207"/>
      <c r="Z9" s="207"/>
    </row>
    <row r="10" spans="1:27" x14ac:dyDescent="0.2">
      <c r="A10" s="11"/>
      <c r="B10" s="69"/>
      <c r="C10" s="11"/>
      <c r="D10" s="69"/>
      <c r="E10" s="69"/>
      <c r="F10" s="11"/>
      <c r="G10" s="69"/>
      <c r="H10" s="69"/>
      <c r="I10" s="11"/>
      <c r="J10" s="11"/>
      <c r="N10">
        <v>0</v>
      </c>
      <c r="O10">
        <v>0</v>
      </c>
      <c r="P10">
        <v>40</v>
      </c>
      <c r="Q10">
        <v>40</v>
      </c>
      <c r="R10">
        <v>80</v>
      </c>
      <c r="S10">
        <v>0</v>
      </c>
      <c r="T10">
        <v>40</v>
      </c>
      <c r="U10" s="207"/>
      <c r="V10" s="207"/>
      <c r="W10" s="207"/>
      <c r="X10" s="207"/>
      <c r="Y10" s="207"/>
      <c r="Z10" s="207"/>
    </row>
    <row r="11" spans="1:27" x14ac:dyDescent="0.2">
      <c r="A11" s="13" t="s">
        <v>1</v>
      </c>
      <c r="B11" s="69"/>
      <c r="C11" s="11"/>
      <c r="D11" s="69"/>
      <c r="E11" s="69"/>
      <c r="F11" s="11"/>
      <c r="G11" s="13" t="s">
        <v>3</v>
      </c>
      <c r="H11" s="69"/>
      <c r="I11" s="13" t="s">
        <v>4</v>
      </c>
      <c r="J11" s="11"/>
      <c r="M11" t="s">
        <v>288</v>
      </c>
      <c r="N11">
        <v>1</v>
      </c>
      <c r="O11">
        <v>20</v>
      </c>
      <c r="P11">
        <v>0</v>
      </c>
      <c r="Q11">
        <v>80</v>
      </c>
      <c r="R11">
        <v>40</v>
      </c>
      <c r="S11">
        <f>IF(M11 = "-",T10 - 20,T10 +20)</f>
        <v>20</v>
      </c>
      <c r="T11">
        <f>S10</f>
        <v>0</v>
      </c>
      <c r="U11" s="207"/>
      <c r="V11" s="207"/>
      <c r="W11" s="207"/>
      <c r="X11" s="207"/>
      <c r="Y11" s="207"/>
      <c r="Z11" s="207"/>
    </row>
    <row r="12" spans="1:27" x14ac:dyDescent="0.2">
      <c r="A12" s="11"/>
      <c r="B12" s="69"/>
      <c r="C12" s="13" t="s">
        <v>2</v>
      </c>
      <c r="D12" s="69"/>
      <c r="E12" s="69"/>
      <c r="F12" s="69"/>
      <c r="G12" s="11"/>
      <c r="H12" s="69"/>
      <c r="I12" s="11"/>
      <c r="J12" s="69"/>
      <c r="M12" t="s">
        <v>284</v>
      </c>
      <c r="N12">
        <v>2</v>
      </c>
      <c r="O12">
        <v>20</v>
      </c>
      <c r="P12">
        <v>20</v>
      </c>
      <c r="Q12">
        <v>40</v>
      </c>
      <c r="R12">
        <v>80</v>
      </c>
      <c r="S12">
        <f>IF(M12 = "-",T11 - 20,T11 +20)</f>
        <v>20</v>
      </c>
      <c r="T12">
        <f>S11</f>
        <v>20</v>
      </c>
      <c r="U12" s="207"/>
      <c r="V12" s="207"/>
      <c r="W12" s="207"/>
      <c r="X12" s="207"/>
      <c r="Y12" s="207"/>
      <c r="Z12" s="207"/>
    </row>
    <row r="13" spans="1:27" ht="13.2" customHeight="1" x14ac:dyDescent="0.2">
      <c r="A13" s="11"/>
      <c r="B13" s="69"/>
      <c r="C13" s="11"/>
      <c r="D13" s="11"/>
      <c r="E13" s="69"/>
      <c r="F13" s="69"/>
      <c r="G13" s="11"/>
      <c r="H13" s="69"/>
      <c r="I13" s="69"/>
      <c r="J13" s="69"/>
      <c r="M13" t="s">
        <v>284</v>
      </c>
      <c r="N13">
        <v>3</v>
      </c>
      <c r="O13">
        <v>40</v>
      </c>
      <c r="P13">
        <v>20</v>
      </c>
      <c r="Q13">
        <v>80</v>
      </c>
      <c r="R13">
        <v>40</v>
      </c>
      <c r="S13">
        <f>IF(M13 = "-",T12 - 20,T12 +20)</f>
        <v>40</v>
      </c>
      <c r="T13">
        <f>S12</f>
        <v>20</v>
      </c>
      <c r="U13" s="207"/>
      <c r="V13" s="207"/>
      <c r="W13" s="207"/>
      <c r="X13" s="207"/>
      <c r="Y13" s="207"/>
      <c r="Z13" s="207"/>
      <c r="AA13" s="74"/>
    </row>
    <row r="14" spans="1:27" x14ac:dyDescent="0.2">
      <c r="B14" s="69"/>
      <c r="C14" s="12"/>
      <c r="D14" s="12"/>
      <c r="E14" s="69"/>
      <c r="F14" s="69"/>
      <c r="G14" s="69"/>
      <c r="H14" s="69"/>
      <c r="I14" s="69"/>
      <c r="J14" s="69"/>
      <c r="N14">
        <v>4</v>
      </c>
      <c r="O14">
        <v>0</v>
      </c>
      <c r="P14">
        <v>20</v>
      </c>
      <c r="Q14">
        <v>40</v>
      </c>
      <c r="R14">
        <v>80</v>
      </c>
      <c r="S14">
        <f>S10</f>
        <v>0</v>
      </c>
      <c r="T14">
        <f>R10 - T10 - 20</f>
        <v>20</v>
      </c>
      <c r="U14" s="207"/>
      <c r="V14" s="207"/>
      <c r="W14" s="207"/>
      <c r="X14" s="207"/>
      <c r="Y14" s="207"/>
      <c r="Z14" s="207"/>
      <c r="AA14" s="74"/>
    </row>
    <row r="15" spans="1:27" x14ac:dyDescent="0.2">
      <c r="M15" t="s">
        <v>284</v>
      </c>
      <c r="N15">
        <v>5</v>
      </c>
      <c r="O15">
        <v>40</v>
      </c>
      <c r="P15">
        <v>0</v>
      </c>
      <c r="Q15">
        <v>80</v>
      </c>
      <c r="R15">
        <v>40</v>
      </c>
      <c r="S15">
        <f>IF(M15 = "-",T14 - 20,T14 +20)</f>
        <v>40</v>
      </c>
      <c r="T15">
        <f>S14</f>
        <v>0</v>
      </c>
      <c r="U15" s="207"/>
      <c r="V15" s="207"/>
      <c r="W15" s="207"/>
      <c r="X15" s="207"/>
      <c r="Y15" s="207"/>
      <c r="Z15" s="207"/>
      <c r="AA15" s="74"/>
    </row>
    <row r="16" spans="1:27" x14ac:dyDescent="0.2">
      <c r="M16" t="s">
        <v>284</v>
      </c>
      <c r="N16">
        <v>6</v>
      </c>
      <c r="O16">
        <v>20</v>
      </c>
      <c r="P16">
        <v>40</v>
      </c>
      <c r="Q16">
        <v>40</v>
      </c>
      <c r="R16">
        <v>80</v>
      </c>
      <c r="S16">
        <f>IF(M16 = "-",T15 - 20,T15 +20)</f>
        <v>20</v>
      </c>
      <c r="T16">
        <f>S15</f>
        <v>40</v>
      </c>
      <c r="U16" s="207"/>
      <c r="V16" s="207"/>
      <c r="W16" s="207"/>
      <c r="X16" s="207"/>
      <c r="Y16" s="207"/>
      <c r="Z16" s="207"/>
      <c r="AA16" s="74"/>
    </row>
    <row r="17" spans="1:27" x14ac:dyDescent="0.2">
      <c r="A17" s="11"/>
      <c r="B17" s="11"/>
      <c r="C17" s="13" t="s">
        <v>1</v>
      </c>
      <c r="D17" s="11"/>
      <c r="E17" s="11"/>
      <c r="H17" s="12"/>
      <c r="I17" s="12"/>
      <c r="J17" s="11"/>
      <c r="K17" s="11"/>
      <c r="M17" t="s">
        <v>288</v>
      </c>
      <c r="N17">
        <v>7</v>
      </c>
      <c r="O17">
        <v>20</v>
      </c>
      <c r="P17">
        <v>20</v>
      </c>
      <c r="Q17">
        <v>80</v>
      </c>
      <c r="R17">
        <v>40</v>
      </c>
      <c r="S17">
        <f>IF(M17 = "-",T16 - 20,T16 +20)</f>
        <v>20</v>
      </c>
      <c r="T17">
        <f>S16</f>
        <v>20</v>
      </c>
      <c r="U17" s="207"/>
      <c r="V17" s="207"/>
      <c r="W17" s="207"/>
      <c r="X17" s="207"/>
      <c r="Y17" s="207"/>
      <c r="Z17" s="207"/>
      <c r="AA17" s="74"/>
    </row>
    <row r="18" spans="1:27" x14ac:dyDescent="0.2">
      <c r="B18" s="69"/>
      <c r="C18" s="69"/>
      <c r="D18" s="69"/>
      <c r="E18" s="69"/>
      <c r="H18" s="11"/>
      <c r="I18" s="70"/>
      <c r="J18" s="13" t="s">
        <v>3</v>
      </c>
      <c r="K18" s="12"/>
      <c r="U18" s="207"/>
      <c r="V18" s="207"/>
      <c r="W18" s="207"/>
      <c r="X18" s="207"/>
      <c r="Y18" s="207"/>
      <c r="Z18" s="207"/>
      <c r="AA18" s="74"/>
    </row>
    <row r="19" spans="1:27" x14ac:dyDescent="0.2">
      <c r="B19" s="11"/>
      <c r="C19" s="13" t="s">
        <v>2</v>
      </c>
      <c r="D19" s="70"/>
      <c r="E19" s="11"/>
      <c r="N19" t="s">
        <v>285</v>
      </c>
      <c r="O19" t="s">
        <v>280</v>
      </c>
      <c r="P19" t="s">
        <v>281</v>
      </c>
      <c r="Q19" t="s">
        <v>282</v>
      </c>
      <c r="R19" t="s">
        <v>283</v>
      </c>
      <c r="S19">
        <f>Q20-20</f>
        <v>40</v>
      </c>
      <c r="U19" s="207"/>
      <c r="V19" s="207"/>
      <c r="W19" s="207"/>
      <c r="X19" s="207"/>
      <c r="Y19" s="207"/>
      <c r="Z19" s="207"/>
      <c r="AA19" s="74"/>
    </row>
    <row r="20" spans="1:27" x14ac:dyDescent="0.2">
      <c r="B20" s="11"/>
      <c r="C20" s="69"/>
      <c r="D20" s="69"/>
      <c r="E20" s="12"/>
      <c r="I20" s="11"/>
      <c r="J20" s="13" t="s">
        <v>4</v>
      </c>
      <c r="K20" s="11"/>
      <c r="N20">
        <v>0</v>
      </c>
      <c r="O20">
        <v>0</v>
      </c>
      <c r="P20">
        <v>40</v>
      </c>
      <c r="Q20">
        <v>60</v>
      </c>
      <c r="R20">
        <v>60</v>
      </c>
      <c r="S20">
        <v>0</v>
      </c>
      <c r="T20">
        <v>40</v>
      </c>
      <c r="U20" s="207"/>
      <c r="V20" s="207"/>
      <c r="W20" s="207"/>
      <c r="X20" s="207"/>
      <c r="Y20" s="207"/>
      <c r="Z20" s="207"/>
      <c r="AA20" s="74"/>
    </row>
    <row r="21" spans="1:27" x14ac:dyDescent="0.2">
      <c r="B21" s="69"/>
      <c r="C21" s="69"/>
      <c r="D21" s="69"/>
      <c r="E21" s="69"/>
      <c r="I21" s="12"/>
      <c r="J21" s="11"/>
      <c r="K21" s="11"/>
      <c r="M21" t="s">
        <v>288</v>
      </c>
      <c r="N21">
        <v>1</v>
      </c>
      <c r="O21">
        <v>0</v>
      </c>
      <c r="P21">
        <v>0</v>
      </c>
      <c r="Q21">
        <v>60</v>
      </c>
      <c r="R21">
        <v>60</v>
      </c>
      <c r="S21">
        <f>IF(M21 = "-",T20 - 40,T20 +40)</f>
        <v>0</v>
      </c>
      <c r="T21">
        <f>S20</f>
        <v>0</v>
      </c>
      <c r="U21" s="207"/>
      <c r="V21" s="207"/>
      <c r="W21" s="207"/>
      <c r="X21" s="207"/>
      <c r="Y21" s="207"/>
      <c r="Z21" s="207"/>
      <c r="AA21" s="74"/>
    </row>
    <row r="22" spans="1:27" x14ac:dyDescent="0.2">
      <c r="M22" t="s">
        <v>284</v>
      </c>
      <c r="N22">
        <v>2</v>
      </c>
      <c r="O22">
        <v>40</v>
      </c>
      <c r="P22">
        <v>0</v>
      </c>
      <c r="Q22">
        <v>60</v>
      </c>
      <c r="R22">
        <v>60</v>
      </c>
      <c r="S22">
        <f>IF(M22 = "-",T21 - 40,T21 +40)</f>
        <v>40</v>
      </c>
      <c r="T22">
        <f>S21</f>
        <v>0</v>
      </c>
      <c r="U22" s="207"/>
      <c r="V22" s="207"/>
      <c r="W22" s="207"/>
      <c r="X22" s="207"/>
      <c r="Y22" s="207"/>
      <c r="Z22" s="207"/>
      <c r="AA22" s="74"/>
    </row>
    <row r="23" spans="1:27" x14ac:dyDescent="0.2">
      <c r="C23" s="12"/>
      <c r="D23" s="69"/>
      <c r="E23" s="69"/>
      <c r="H23" s="11"/>
      <c r="I23" s="11"/>
      <c r="J23" s="69"/>
      <c r="M23" t="s">
        <v>284</v>
      </c>
      <c r="N23">
        <v>3</v>
      </c>
      <c r="O23">
        <v>40</v>
      </c>
      <c r="P23">
        <v>40</v>
      </c>
      <c r="Q23">
        <v>60</v>
      </c>
      <c r="R23">
        <v>60</v>
      </c>
      <c r="S23">
        <f>IF(M23 = "-",T22 - 40,T22 +40)</f>
        <v>40</v>
      </c>
      <c r="T23">
        <f>S22</f>
        <v>40</v>
      </c>
      <c r="U23" s="207"/>
      <c r="V23" s="207"/>
      <c r="W23" s="207"/>
      <c r="X23" s="207"/>
      <c r="Y23" s="207"/>
      <c r="Z23" s="207"/>
      <c r="AA23" s="74"/>
    </row>
    <row r="24" spans="1:27" x14ac:dyDescent="0.2">
      <c r="B24" s="69"/>
      <c r="C24" s="12"/>
      <c r="D24" s="69"/>
      <c r="E24" s="69"/>
      <c r="H24" s="69"/>
      <c r="I24" s="13" t="s">
        <v>8</v>
      </c>
      <c r="J24" s="11"/>
      <c r="N24">
        <v>4</v>
      </c>
      <c r="O24">
        <v>0</v>
      </c>
      <c r="P24">
        <v>0</v>
      </c>
      <c r="Q24">
        <v>60</v>
      </c>
      <c r="R24">
        <v>60</v>
      </c>
      <c r="S24">
        <f>S20</f>
        <v>0</v>
      </c>
      <c r="T24">
        <f>R20 - T20 - 20</f>
        <v>0</v>
      </c>
      <c r="U24" s="207"/>
      <c r="V24" s="207"/>
      <c r="W24" s="207"/>
      <c r="X24" s="207"/>
      <c r="Y24" s="207"/>
      <c r="Z24" s="207"/>
      <c r="AA24" s="74"/>
    </row>
    <row r="25" spans="1:27" x14ac:dyDescent="0.2">
      <c r="C25" s="13" t="s">
        <v>7</v>
      </c>
      <c r="D25" s="11"/>
      <c r="E25" s="11"/>
      <c r="H25" s="69"/>
      <c r="I25" s="69"/>
      <c r="J25" s="11"/>
      <c r="M25" t="s">
        <v>284</v>
      </c>
      <c r="N25">
        <v>5</v>
      </c>
      <c r="O25">
        <v>40</v>
      </c>
      <c r="P25">
        <v>0</v>
      </c>
      <c r="Q25">
        <v>60</v>
      </c>
      <c r="R25">
        <v>60</v>
      </c>
      <c r="S25">
        <f>IF(M25 = "-",T24 - 40,T24 +40)</f>
        <v>40</v>
      </c>
      <c r="T25">
        <f>S24</f>
        <v>0</v>
      </c>
      <c r="U25" s="207"/>
      <c r="V25" s="207"/>
      <c r="W25" s="207"/>
      <c r="X25" s="207"/>
      <c r="Y25" s="207"/>
      <c r="Z25" s="207"/>
      <c r="AA25" s="74"/>
    </row>
    <row r="26" spans="1:27" x14ac:dyDescent="0.2">
      <c r="C26" s="70"/>
      <c r="E26" s="69"/>
      <c r="M26" t="s">
        <v>284</v>
      </c>
      <c r="N26">
        <v>6</v>
      </c>
      <c r="O26">
        <v>40</v>
      </c>
      <c r="P26">
        <v>40</v>
      </c>
      <c r="Q26">
        <v>60</v>
      </c>
      <c r="R26">
        <v>60</v>
      </c>
      <c r="S26">
        <f>IF(M26 = "-",T25 - 40,T25 +40)</f>
        <v>40</v>
      </c>
      <c r="T26">
        <f>S25</f>
        <v>40</v>
      </c>
      <c r="U26" s="207"/>
      <c r="V26" s="207"/>
      <c r="W26" s="207"/>
      <c r="X26" s="207"/>
      <c r="Y26" s="207"/>
      <c r="Z26" s="207"/>
      <c r="AA26" s="74"/>
    </row>
    <row r="27" spans="1:27" x14ac:dyDescent="0.2">
      <c r="C27" s="70"/>
      <c r="M27" t="s">
        <v>288</v>
      </c>
      <c r="N27">
        <v>7</v>
      </c>
      <c r="O27">
        <v>0</v>
      </c>
      <c r="P27">
        <v>40</v>
      </c>
      <c r="Q27">
        <v>60</v>
      </c>
      <c r="R27">
        <v>60</v>
      </c>
      <c r="S27">
        <f>IF(M27 = "-",T26 - 40,T26 +40)</f>
        <v>0</v>
      </c>
      <c r="T27">
        <f>S26</f>
        <v>40</v>
      </c>
      <c r="U27" s="207"/>
      <c r="V27" s="207"/>
      <c r="W27" s="207"/>
      <c r="X27" s="207"/>
      <c r="Y27" s="207"/>
      <c r="Z27" s="207"/>
      <c r="AA27" s="74"/>
    </row>
    <row r="28" spans="1:27" x14ac:dyDescent="0.2">
      <c r="U28" s="207"/>
      <c r="V28" s="207"/>
      <c r="W28" s="207"/>
      <c r="X28" s="207"/>
      <c r="Y28" s="207"/>
      <c r="Z28" s="207"/>
      <c r="AA28" s="74"/>
    </row>
    <row r="29" spans="1:27" x14ac:dyDescent="0.2">
      <c r="G29" s="12"/>
      <c r="H29" s="11"/>
      <c r="N29" t="s">
        <v>279</v>
      </c>
      <c r="O29" t="s">
        <v>280</v>
      </c>
      <c r="P29" t="s">
        <v>281</v>
      </c>
      <c r="Q29" t="s">
        <v>282</v>
      </c>
      <c r="R29" t="s">
        <v>283</v>
      </c>
      <c r="S29">
        <f>Q30-20</f>
        <v>20</v>
      </c>
      <c r="U29" s="207"/>
      <c r="V29" s="207"/>
      <c r="W29" s="207"/>
      <c r="X29" s="207"/>
      <c r="Y29" s="207"/>
      <c r="Z29" s="207"/>
      <c r="AA29" s="74"/>
    </row>
    <row r="30" spans="1:27" x14ac:dyDescent="0.2">
      <c r="H30" s="70"/>
      <c r="N30">
        <v>0</v>
      </c>
      <c r="O30">
        <v>20</v>
      </c>
      <c r="P30">
        <v>20</v>
      </c>
      <c r="Q30">
        <v>40</v>
      </c>
      <c r="R30">
        <v>80</v>
      </c>
      <c r="S30">
        <v>20</v>
      </c>
      <c r="T30">
        <v>20</v>
      </c>
      <c r="V30" s="74"/>
      <c r="W30" s="74"/>
      <c r="X30" s="74"/>
      <c r="Y30" s="74"/>
      <c r="Z30" s="74"/>
      <c r="AA30" s="74"/>
    </row>
    <row r="31" spans="1:27" x14ac:dyDescent="0.2">
      <c r="G31" s="11"/>
      <c r="H31" s="13" t="s">
        <v>3</v>
      </c>
      <c r="M31" t="s">
        <v>284</v>
      </c>
      <c r="N31">
        <v>1</v>
      </c>
      <c r="O31">
        <v>40</v>
      </c>
      <c r="P31">
        <v>20</v>
      </c>
      <c r="Q31">
        <v>80</v>
      </c>
      <c r="R31">
        <v>40</v>
      </c>
      <c r="S31">
        <f>IF(M31 = "-",T30 - 20,T30 +20)</f>
        <v>40</v>
      </c>
      <c r="T31">
        <f>S30</f>
        <v>20</v>
      </c>
      <c r="V31" s="74"/>
      <c r="W31" s="74"/>
      <c r="X31" s="74"/>
      <c r="Y31" s="74"/>
      <c r="Z31" s="74"/>
      <c r="AA31" s="74"/>
    </row>
    <row r="32" spans="1:27" x14ac:dyDescent="0.2">
      <c r="G32" s="11"/>
      <c r="H32" s="12"/>
      <c r="M32" t="s">
        <v>288</v>
      </c>
      <c r="N32">
        <v>2</v>
      </c>
      <c r="O32">
        <v>0</v>
      </c>
      <c r="P32">
        <v>40</v>
      </c>
      <c r="Q32">
        <v>40</v>
      </c>
      <c r="R32">
        <v>80</v>
      </c>
      <c r="S32">
        <f>IF(M32 = "-",T31 - 20,T31 +20)</f>
        <v>0</v>
      </c>
      <c r="T32">
        <f>S31</f>
        <v>40</v>
      </c>
      <c r="V32" s="74"/>
      <c r="W32" s="74"/>
      <c r="X32" s="74"/>
      <c r="Y32" s="74"/>
      <c r="Z32" s="74"/>
      <c r="AA32" s="74"/>
    </row>
    <row r="33" spans="8:27" x14ac:dyDescent="0.2">
      <c r="H33" s="76"/>
      <c r="M33" t="s">
        <v>288</v>
      </c>
      <c r="N33">
        <v>3</v>
      </c>
      <c r="O33">
        <v>20</v>
      </c>
      <c r="P33">
        <v>0</v>
      </c>
      <c r="Q33">
        <v>80</v>
      </c>
      <c r="R33">
        <v>40</v>
      </c>
      <c r="S33">
        <f>IF(M33 = "-",T32 - 20,T32 +20)</f>
        <v>20</v>
      </c>
      <c r="T33">
        <f>S32</f>
        <v>0</v>
      </c>
      <c r="V33" s="74"/>
      <c r="W33" s="74"/>
      <c r="X33" s="74"/>
      <c r="Y33" s="74"/>
      <c r="Z33" s="74"/>
      <c r="AA33" s="74"/>
    </row>
    <row r="34" spans="8:27" x14ac:dyDescent="0.2">
      <c r="N34">
        <v>4</v>
      </c>
      <c r="O34">
        <v>20</v>
      </c>
      <c r="P34">
        <v>40</v>
      </c>
      <c r="Q34">
        <v>40</v>
      </c>
      <c r="R34">
        <v>80</v>
      </c>
      <c r="S34">
        <f>S30</f>
        <v>20</v>
      </c>
      <c r="T34">
        <f>R30 - T30 - 20</f>
        <v>40</v>
      </c>
      <c r="V34" s="74"/>
      <c r="W34" s="74"/>
      <c r="X34" s="74"/>
      <c r="Y34" s="74"/>
      <c r="Z34" s="74"/>
      <c r="AA34" s="74"/>
    </row>
    <row r="35" spans="8:27" x14ac:dyDescent="0.2">
      <c r="M35" t="s">
        <v>288</v>
      </c>
      <c r="N35">
        <v>5</v>
      </c>
      <c r="O35">
        <v>20</v>
      </c>
      <c r="P35">
        <v>20</v>
      </c>
      <c r="Q35">
        <v>80</v>
      </c>
      <c r="R35">
        <v>40</v>
      </c>
      <c r="S35">
        <f>IF(M35 = "-",T34 - 20,T34 +20)</f>
        <v>20</v>
      </c>
      <c r="T35">
        <f>S34</f>
        <v>20</v>
      </c>
    </row>
    <row r="36" spans="8:27" x14ac:dyDescent="0.2">
      <c r="M36" t="s">
        <v>288</v>
      </c>
      <c r="N36">
        <v>6</v>
      </c>
      <c r="O36">
        <v>0</v>
      </c>
      <c r="P36">
        <v>20</v>
      </c>
      <c r="Q36">
        <v>40</v>
      </c>
      <c r="R36">
        <v>80</v>
      </c>
      <c r="S36">
        <f>IF(M36 = "-",T35 - 20,T35 +20)</f>
        <v>0</v>
      </c>
      <c r="T36">
        <f>S35</f>
        <v>20</v>
      </c>
    </row>
    <row r="37" spans="8:27" x14ac:dyDescent="0.2">
      <c r="M37" t="s">
        <v>284</v>
      </c>
      <c r="N37">
        <v>7</v>
      </c>
      <c r="O37">
        <v>40</v>
      </c>
      <c r="P37">
        <v>0</v>
      </c>
      <c r="Q37">
        <v>80</v>
      </c>
      <c r="R37">
        <v>40</v>
      </c>
      <c r="S37">
        <f>IF(M37 = "-",T36 - 20,T36 +20)</f>
        <v>40</v>
      </c>
      <c r="T37">
        <f>S36</f>
        <v>0</v>
      </c>
    </row>
  </sheetData>
  <mergeCells count="1">
    <mergeCell ref="U1:Z29"/>
  </mergeCells>
  <phoneticPr fontId="1"/>
  <pageMargins left="0.7" right="0.7" top="0.75" bottom="0.75" header="0.3" footer="0.3"/>
  <pageSetup paperSize="9" orientation="portrait" horizontalDpi="4294967293"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Sorting</vt:lpstr>
      <vt:lpstr>画面レイアウト</vt:lpstr>
      <vt:lpstr>モード遷移</vt:lpstr>
      <vt:lpstr>タスクスケジュール</vt:lpstr>
      <vt:lpstr>ステージエディター</vt:lpstr>
      <vt:lpstr>ステージデータ</vt:lpstr>
      <vt:lpstr>Sort2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Strangeman</dc:creator>
  <cp:lastModifiedBy>Strangeman</cp:lastModifiedBy>
  <dcterms:created xsi:type="dcterms:W3CDTF">2019-01-16T21:08:37Z</dcterms:created>
  <dcterms:modified xsi:type="dcterms:W3CDTF">2019-08-06T19:02:39Z</dcterms:modified>
</cp:coreProperties>
</file>